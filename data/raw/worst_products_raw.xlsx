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2e79b2f4e42b9bb/Desktop/acme-buisness-analysis/data/raw/"/>
    </mc:Choice>
  </mc:AlternateContent>
  <xr:revisionPtr revIDLastSave="5" documentId="8_{D73F577C-E4F7-4585-A786-920D9892D523}" xr6:coauthVersionLast="47" xr6:coauthVersionMax="47" xr10:uidLastSave="{C69694EE-3E60-44E1-B38A-13643820A3F5}"/>
  <bookViews>
    <workbookView xWindow="-110" yWindow="-110" windowWidth="21820" windowHeight="13900" xr2:uid="{007065F0-1BF5-4F55-A25A-E8147E24F442}"/>
  </bookViews>
  <sheets>
    <sheet name="worstproducts" sheetId="1" r:id="rId1"/>
  </sheets>
  <externalReferences>
    <externalReference r:id="rId2"/>
  </externalReferences>
  <definedNames>
    <definedName name="ExternalData_1" localSheetId="0" hidden="1">worstproducts!$A$1:$E$41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1" i="1" l="1"/>
  <c r="D41" i="1"/>
  <c r="E37" i="1"/>
  <c r="D37" i="1"/>
  <c r="D33" i="1"/>
  <c r="D29" i="1"/>
  <c r="E25" i="1"/>
  <c r="D25" i="1"/>
  <c r="E21" i="1"/>
  <c r="D21" i="1"/>
  <c r="E17" i="1"/>
  <c r="D17" i="1"/>
  <c r="E13" i="1"/>
  <c r="D13" i="1"/>
  <c r="E9" i="1"/>
  <c r="D9" i="1"/>
  <c r="E5" i="1"/>
  <c r="D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797A40-9331-4A47-B024-C6FD76389209}" keepAlive="1" name="Query - worstproducts" description="Connection to the 'worstproducts' query in the workbook." type="5" refreshedVersion="8" background="1" saveData="1">
    <dbPr connection="Provider=Microsoft.Mashup.OleDb.1;Data Source=$Workbook$;Location=worstproducts;Extended Properties=&quot;&quot;" command="SELECT * FROM [worstproducts]"/>
  </connection>
</connections>
</file>

<file path=xl/sharedStrings.xml><?xml version="1.0" encoding="utf-8"?>
<sst xmlns="http://schemas.openxmlformats.org/spreadsheetml/2006/main" count="45" uniqueCount="15">
  <si>
    <t>year</t>
  </si>
  <si>
    <t>productId</t>
  </si>
  <si>
    <t>productName</t>
  </si>
  <si>
    <t>quantitySold</t>
  </si>
  <si>
    <t>revenue</t>
  </si>
  <si>
    <t>Incredible Bronze Keyboard</t>
  </si>
  <si>
    <t>Incredible Leather Shoes</t>
  </si>
  <si>
    <t>Synergistic Iron Car</t>
  </si>
  <si>
    <t>Intelligent Plastic Plate</t>
  </si>
  <si>
    <t>Fantastic Leather Bench</t>
  </si>
  <si>
    <t>Enormous Wool Wallet</t>
  </si>
  <si>
    <t>Mediocre Rubber Bench</t>
  </si>
  <si>
    <t>Sleek Bronze Keyboard</t>
  </si>
  <si>
    <t>Rustic Linen Computer</t>
  </si>
  <si>
    <t>Fantastic Wooden Chair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</si>
</sst>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1" fontId="0" fillId="0" borderId="0" xfId="1" applyNumberFormat="1" applyFont="1"/>
    <xf numFmtId="44" fontId="0" fillId="0" borderId="0" xfId="1" applyFont="1"/>
    <xf numFmtId="1" fontId="0" fillId="0" borderId="0" xfId="0" applyNumberFormat="1"/>
  </cellXfs>
  <cellStyles count="2">
    <cellStyle name="Currency" xfId="1" builtinId="4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cosc304_lab10.xlsx" TargetMode="External"/><Relationship Id="rId2" Type="http://schemas.openxmlformats.org/officeDocument/2006/relationships/externalLinkPath" Target="https://d.docs.live.net/f2e79b2f4e42b9bb/Desktop/acme-buisness-analysis/cosc304_lab10.xlsx" TargetMode="External"/><Relationship Id="rId1" Type="http://schemas.openxmlformats.org/officeDocument/2006/relationships/externalLinkPath" Target="/f2e79b2f4e42b9bb/Desktop/acme-buisness-analysis/cosc304_lab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ustomersbyregion"/>
      <sheetName val="customersbyregion (2)"/>
      <sheetName val="worstproducts"/>
      <sheetName val="worstproducts (2)"/>
      <sheetName val="bestproducts"/>
      <sheetName val="paymentmethods"/>
      <sheetName val="inventorymanagement"/>
    </sheetNames>
    <sheetDataSet>
      <sheetData sheetId="0"/>
      <sheetData sheetId="1"/>
      <sheetData sheetId="2">
        <row r="2">
          <cell r="A2">
            <v>2020</v>
          </cell>
          <cell r="D2">
            <v>21</v>
          </cell>
          <cell r="E2">
            <v>2038.05</v>
          </cell>
        </row>
        <row r="3">
          <cell r="A3">
            <v>2021</v>
          </cell>
          <cell r="D3">
            <v>26</v>
          </cell>
          <cell r="E3">
            <v>2220.1799999999998</v>
          </cell>
        </row>
        <row r="4">
          <cell r="A4">
            <v>2022</v>
          </cell>
          <cell r="D4">
            <v>8</v>
          </cell>
          <cell r="E4">
            <v>738.99</v>
          </cell>
        </row>
        <row r="5">
          <cell r="A5">
            <v>2023</v>
          </cell>
          <cell r="D5">
            <v>7.1999999999999993</v>
          </cell>
          <cell r="E5">
            <v>617.61599999999987</v>
          </cell>
        </row>
        <row r="22">
          <cell r="A22">
            <v>2020</v>
          </cell>
        </row>
        <row r="23">
          <cell r="A23">
            <v>2021</v>
          </cell>
        </row>
        <row r="24">
          <cell r="A24">
            <v>2022</v>
          </cell>
        </row>
        <row r="25">
          <cell r="A25">
            <v>2023</v>
          </cell>
        </row>
        <row r="26">
          <cell r="D26">
            <v>16</v>
          </cell>
          <cell r="E26">
            <v>2548.92</v>
          </cell>
        </row>
        <row r="27">
          <cell r="D27">
            <v>8</v>
          </cell>
          <cell r="E27">
            <v>891.72</v>
          </cell>
        </row>
        <row r="28">
          <cell r="D28">
            <v>24</v>
          </cell>
          <cell r="E28">
            <v>1838.03</v>
          </cell>
        </row>
        <row r="29">
          <cell r="D29">
            <v>0</v>
          </cell>
          <cell r="E29">
            <v>0</v>
          </cell>
        </row>
        <row r="30">
          <cell r="D30">
            <v>0</v>
          </cell>
          <cell r="E30">
            <v>0</v>
          </cell>
        </row>
        <row r="31">
          <cell r="D31">
            <v>16</v>
          </cell>
          <cell r="E31">
            <v>1334.95</v>
          </cell>
        </row>
        <row r="32">
          <cell r="D32">
            <v>23</v>
          </cell>
          <cell r="E32">
            <v>1069.3499999999999</v>
          </cell>
        </row>
        <row r="33">
          <cell r="D33">
            <v>0</v>
          </cell>
          <cell r="E33">
            <v>0</v>
          </cell>
        </row>
        <row r="34">
          <cell r="A34">
            <v>2020</v>
          </cell>
          <cell r="D34">
            <v>34</v>
          </cell>
          <cell r="E34">
            <v>2723.61</v>
          </cell>
        </row>
        <row r="35">
          <cell r="A35">
            <v>2021</v>
          </cell>
          <cell r="D35">
            <v>21</v>
          </cell>
          <cell r="E35">
            <v>2967.9</v>
          </cell>
        </row>
        <row r="36">
          <cell r="A36">
            <v>2022</v>
          </cell>
          <cell r="D36">
            <v>2</v>
          </cell>
          <cell r="E36">
            <v>301.27999999999997</v>
          </cell>
        </row>
        <row r="37">
          <cell r="A37">
            <v>2023</v>
          </cell>
          <cell r="D37">
            <v>6</v>
          </cell>
          <cell r="E37">
            <v>167.93999999999997</v>
          </cell>
        </row>
        <row r="38">
          <cell r="A38">
            <v>2020</v>
          </cell>
          <cell r="D38">
            <v>37</v>
          </cell>
          <cell r="E38">
            <v>4533.8500000000004</v>
          </cell>
        </row>
        <row r="39">
          <cell r="A39">
            <v>2021</v>
          </cell>
          <cell r="D39">
            <v>6</v>
          </cell>
          <cell r="E39">
            <v>871.2</v>
          </cell>
        </row>
        <row r="40">
          <cell r="A40">
            <v>2022</v>
          </cell>
          <cell r="D40">
            <v>6</v>
          </cell>
          <cell r="E40">
            <v>666.36</v>
          </cell>
        </row>
        <row r="41">
          <cell r="A41">
            <v>2023</v>
          </cell>
          <cell r="D41">
            <v>4.8</v>
          </cell>
          <cell r="E41">
            <v>81.455999999999989</v>
          </cell>
        </row>
      </sheetData>
      <sheetData sheetId="3"/>
      <sheetData sheetId="4"/>
      <sheetData sheetId="5"/>
      <sheetData sheetId="6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9876AE8-2D81-434A-AA4C-DA3BA7EA7B48}" autoFormatId="16" applyNumberFormats="0" applyBorderFormats="0" applyFontFormats="0" applyPatternFormats="0" applyAlignmentFormats="0" applyWidthHeightFormats="0">
  <queryTableRefresh nextId="8">
    <queryTableFields count="5">
      <queryTableField id="6" name="year" tableColumnId="3"/>
      <queryTableField id="1" name="productId" tableColumnId="1"/>
      <queryTableField id="2" name="productName" tableColumnId="2"/>
      <queryTableField id="4" name="quantitySold" tableColumnId="4"/>
      <queryTableField id="5" name="revenu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FFBC0B-2B31-492A-92DF-69D5768E82A3}" name="worstproducts" displayName="worstproducts" ref="A1:E41" tableType="queryTable" totalsRowShown="0">
  <autoFilter ref="A1:E41" xr:uid="{07E7A765-F194-4CE3-8E80-62CCEF6BEF77}"/>
  <tableColumns count="5">
    <tableColumn id="3" xr3:uid="{26F8B1F3-8C81-4AA9-814C-B3011E0C8284}" uniqueName="3" name="year" queryTableFieldId="6" dataDxfId="2" dataCellStyle="Currency"/>
    <tableColumn id="1" xr3:uid="{47C5D2E7-1F32-4D23-AC84-FD8962B677DB}" uniqueName="1" name="productId" queryTableFieldId="1"/>
    <tableColumn id="2" xr3:uid="{5C310231-6B23-481F-B874-86C7EA38FC0A}" uniqueName="2" name="productName" queryTableFieldId="2" dataDxfId="1"/>
    <tableColumn id="4" xr3:uid="{67D9CFAC-3EE4-4EE8-8AAE-7C4157C60892}" uniqueName="4" name="quantitySold" queryTableFieldId="4"/>
    <tableColumn id="5" xr3:uid="{55658F84-73A4-481D-B4E7-A5FD70F34349}" uniqueName="5" name="revenue" queryTableFieldId="5" dataDxfId="0" dataCellStyle="Currency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Droplet">
  <a:themeElements>
    <a:clrScheme name="Droplet">
      <a:dk1>
        <a:sysClr val="windowText" lastClr="000000"/>
      </a:dk1>
      <a:lt1>
        <a:sysClr val="window" lastClr="FFFFFF"/>
      </a:lt1>
      <a:dk2>
        <a:srgbClr val="355071"/>
      </a:dk2>
      <a:lt2>
        <a:srgbClr val="AABED7"/>
      </a:lt2>
      <a:accent1>
        <a:srgbClr val="2FA3EE"/>
      </a:accent1>
      <a:accent2>
        <a:srgbClr val="4BCAAD"/>
      </a:accent2>
      <a:accent3>
        <a:srgbClr val="86C157"/>
      </a:accent3>
      <a:accent4>
        <a:srgbClr val="D99C3F"/>
      </a:accent4>
      <a:accent5>
        <a:srgbClr val="CE6633"/>
      </a:accent5>
      <a:accent6>
        <a:srgbClr val="A35DD1"/>
      </a:accent6>
      <a:hlink>
        <a:srgbClr val="56BCFE"/>
      </a:hlink>
      <a:folHlink>
        <a:srgbClr val="97C5E3"/>
      </a:folHlink>
    </a:clrScheme>
    <a:fontScheme name="Droplet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roplet">
      <a:fillStyleLst>
        <a:solidFill>
          <a:schemeClr val="phClr"/>
        </a:solidFill>
        <a:solidFill>
          <a:schemeClr val="phClr">
            <a:tint val="69000"/>
            <a:satMod val="105000"/>
            <a:lumMod val="110000"/>
          </a:schemeClr>
        </a:solidFill>
        <a:gradFill rotWithShape="1">
          <a:gsLst>
            <a:gs pos="0">
              <a:schemeClr val="phClr">
                <a:tint val="94000"/>
                <a:satMod val="100000"/>
                <a:lumMod val="108000"/>
              </a:schemeClr>
            </a:gs>
            <a:gs pos="50000">
              <a:schemeClr val="phClr">
                <a:tint val="98000"/>
                <a:shade val="100000"/>
                <a:satMod val="100000"/>
                <a:lumMod val="100000"/>
              </a:schemeClr>
            </a:gs>
            <a:gs pos="100000">
              <a:schemeClr val="phClr">
                <a:shade val="72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60000"/>
            </a:schemeClr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</a:effectStyle>
        <a:effectStyle>
          <a:effectLst>
            <a:outerShdw blurRad="63500" dist="25400" dir="5400000" algn="ctr" rotWithShape="0">
              <a:srgbClr val="000000">
                <a:alpha val="69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200000"/>
            </a:lightRig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4000"/>
                <a:shade val="100000"/>
                <a:hueMod val="130000"/>
                <a:satMod val="150000"/>
                <a:lumMod val="112000"/>
              </a:schemeClr>
            </a:gs>
            <a:gs pos="100000">
              <a:schemeClr val="phClr">
                <a:shade val="92000"/>
                <a:satMod val="140000"/>
                <a:lumMod val="11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roplet" id="{8984A317-299A-4E50-B45D-BFC9EDE2337A}" vid="{A633B6A3-9E7F-4C10-9C98-2517A3134361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2AA3F-905C-4BA7-BB4C-57C266393F77}">
  <dimension ref="A1:E41"/>
  <sheetViews>
    <sheetView tabSelected="1" workbookViewId="0">
      <selection activeCell="E64" sqref="E64"/>
    </sheetView>
  </sheetViews>
  <sheetFormatPr defaultRowHeight="14" x14ac:dyDescent="0.3"/>
  <cols>
    <col min="1" max="1" width="10" customWidth="1"/>
    <col min="2" max="2" width="11.4140625" customWidth="1"/>
    <col min="3" max="3" width="24.75" customWidth="1"/>
    <col min="4" max="4" width="13.9140625" customWidth="1"/>
    <col min="5" max="5" width="10.33203125" customWidth="1"/>
    <col min="6" max="6" width="9.8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2020</v>
      </c>
      <c r="B2">
        <v>2</v>
      </c>
      <c r="C2" t="s">
        <v>5</v>
      </c>
      <c r="D2">
        <v>21</v>
      </c>
      <c r="E2" s="2">
        <v>2038.05</v>
      </c>
    </row>
    <row r="3" spans="1:5" x14ac:dyDescent="0.3">
      <c r="A3" s="1">
        <v>2021</v>
      </c>
      <c r="B3">
        <v>2</v>
      </c>
      <c r="C3" t="s">
        <v>5</v>
      </c>
      <c r="D3">
        <v>26</v>
      </c>
      <c r="E3" s="2">
        <v>2220.1799999999998</v>
      </c>
    </row>
    <row r="4" spans="1:5" x14ac:dyDescent="0.3">
      <c r="A4" s="1">
        <v>2022</v>
      </c>
      <c r="B4">
        <v>2</v>
      </c>
      <c r="C4" t="s">
        <v>5</v>
      </c>
      <c r="D4">
        <v>8</v>
      </c>
      <c r="E4" s="2">
        <v>738.99</v>
      </c>
    </row>
    <row r="5" spans="1:5" x14ac:dyDescent="0.3">
      <c r="A5" s="1">
        <v>2023</v>
      </c>
      <c r="B5">
        <v>2</v>
      </c>
      <c r="C5" t="s">
        <v>5</v>
      </c>
      <c r="D5" s="3">
        <f>1.2*6</f>
        <v>7.1999999999999993</v>
      </c>
      <c r="E5" s="2">
        <f>1.2*514.68</f>
        <v>617.61599999999987</v>
      </c>
    </row>
    <row r="6" spans="1:5" x14ac:dyDescent="0.3">
      <c r="A6" s="1">
        <v>2020</v>
      </c>
      <c r="B6">
        <v>13</v>
      </c>
      <c r="C6" t="s">
        <v>6</v>
      </c>
      <c r="D6">
        <v>10</v>
      </c>
      <c r="E6" s="2">
        <v>1441.4</v>
      </c>
    </row>
    <row r="7" spans="1:5" x14ac:dyDescent="0.3">
      <c r="A7" s="1">
        <v>2021</v>
      </c>
      <c r="B7">
        <v>13</v>
      </c>
      <c r="C7" t="s">
        <v>6</v>
      </c>
      <c r="D7">
        <v>0</v>
      </c>
      <c r="E7" s="2">
        <v>0</v>
      </c>
    </row>
    <row r="8" spans="1:5" x14ac:dyDescent="0.3">
      <c r="A8" s="1">
        <v>2022</v>
      </c>
      <c r="B8">
        <v>13</v>
      </c>
      <c r="C8" t="s">
        <v>6</v>
      </c>
      <c r="D8">
        <v>25</v>
      </c>
      <c r="E8" s="2">
        <v>3508.29</v>
      </c>
    </row>
    <row r="9" spans="1:5" x14ac:dyDescent="0.3">
      <c r="A9" s="1">
        <v>2023</v>
      </c>
      <c r="B9">
        <v>13</v>
      </c>
      <c r="C9" t="s">
        <v>6</v>
      </c>
      <c r="D9">
        <f>1.2*20</f>
        <v>24</v>
      </c>
      <c r="E9" s="2">
        <f>1.2*2303.12</f>
        <v>2763.7439999999997</v>
      </c>
    </row>
    <row r="10" spans="1:5" x14ac:dyDescent="0.3">
      <c r="A10" s="1">
        <v>2020</v>
      </c>
      <c r="B10">
        <v>61</v>
      </c>
      <c r="C10" t="s">
        <v>7</v>
      </c>
      <c r="D10">
        <v>20</v>
      </c>
      <c r="E10" s="2">
        <v>2427.4899999999998</v>
      </c>
    </row>
    <row r="11" spans="1:5" x14ac:dyDescent="0.3">
      <c r="A11" s="1">
        <v>2021</v>
      </c>
      <c r="B11">
        <v>61</v>
      </c>
      <c r="C11" t="s">
        <v>7</v>
      </c>
      <c r="D11">
        <v>0</v>
      </c>
      <c r="E11" s="2">
        <v>0</v>
      </c>
    </row>
    <row r="12" spans="1:5" x14ac:dyDescent="0.3">
      <c r="A12" s="1">
        <v>2022</v>
      </c>
      <c r="B12">
        <v>61</v>
      </c>
      <c r="C12" t="s">
        <v>7</v>
      </c>
      <c r="D12">
        <v>10</v>
      </c>
      <c r="E12" s="2">
        <v>76.599999999999994</v>
      </c>
    </row>
    <row r="13" spans="1:5" x14ac:dyDescent="0.3">
      <c r="A13" s="1">
        <v>2023</v>
      </c>
      <c r="B13">
        <v>61</v>
      </c>
      <c r="C13" t="s">
        <v>7</v>
      </c>
      <c r="D13" s="3">
        <f>1.2*28</f>
        <v>33.6</v>
      </c>
      <c r="E13" s="2">
        <f>1.2*1786.12</f>
        <v>2143.3439999999996</v>
      </c>
    </row>
    <row r="14" spans="1:5" x14ac:dyDescent="0.3">
      <c r="A14" s="1">
        <v>2020</v>
      </c>
      <c r="B14">
        <v>94</v>
      </c>
      <c r="C14" t="s">
        <v>8</v>
      </c>
      <c r="D14">
        <v>11</v>
      </c>
      <c r="E14" s="2">
        <v>1447.05</v>
      </c>
    </row>
    <row r="15" spans="1:5" x14ac:dyDescent="0.3">
      <c r="A15" s="1">
        <v>2021</v>
      </c>
      <c r="B15">
        <v>94</v>
      </c>
      <c r="C15" t="s">
        <v>8</v>
      </c>
      <c r="D15">
        <v>0</v>
      </c>
      <c r="E15" s="2">
        <v>0</v>
      </c>
    </row>
    <row r="16" spans="1:5" x14ac:dyDescent="0.3">
      <c r="A16" s="1">
        <v>2022</v>
      </c>
      <c r="B16">
        <v>94</v>
      </c>
      <c r="C16" t="s">
        <v>8</v>
      </c>
      <c r="D16">
        <v>33</v>
      </c>
      <c r="E16" s="2">
        <v>3225.18</v>
      </c>
    </row>
    <row r="17" spans="1:5" x14ac:dyDescent="0.3">
      <c r="A17" s="1">
        <v>2023</v>
      </c>
      <c r="B17">
        <v>94</v>
      </c>
      <c r="C17" t="s">
        <v>8</v>
      </c>
      <c r="D17" s="3">
        <f>1.2*14</f>
        <v>16.8</v>
      </c>
      <c r="E17" s="2">
        <f>1.2*1042.32</f>
        <v>1250.7839999999999</v>
      </c>
    </row>
    <row r="18" spans="1:5" x14ac:dyDescent="0.3">
      <c r="A18" s="1">
        <v>2020</v>
      </c>
      <c r="B18">
        <v>157</v>
      </c>
      <c r="C18" t="s">
        <v>9</v>
      </c>
      <c r="D18">
        <v>0</v>
      </c>
      <c r="E18" s="2">
        <v>0</v>
      </c>
    </row>
    <row r="19" spans="1:5" x14ac:dyDescent="0.3">
      <c r="A19" s="1">
        <v>2021</v>
      </c>
      <c r="B19">
        <v>157</v>
      </c>
      <c r="C19" t="s">
        <v>9</v>
      </c>
      <c r="D19">
        <v>27</v>
      </c>
      <c r="E19" s="2">
        <v>2288.35</v>
      </c>
    </row>
    <row r="20" spans="1:5" x14ac:dyDescent="0.3">
      <c r="A20" s="1">
        <v>2022</v>
      </c>
      <c r="B20">
        <v>157</v>
      </c>
      <c r="C20" t="s">
        <v>9</v>
      </c>
      <c r="D20">
        <v>1</v>
      </c>
      <c r="E20" s="2">
        <v>75.739999999999995</v>
      </c>
    </row>
    <row r="21" spans="1:5" x14ac:dyDescent="0.3">
      <c r="A21" s="1">
        <v>2023</v>
      </c>
      <c r="B21">
        <v>157</v>
      </c>
      <c r="C21" t="s">
        <v>9</v>
      </c>
      <c r="D21" s="3">
        <f>1.2*29</f>
        <v>34.799999999999997</v>
      </c>
      <c r="E21" s="2">
        <f>1.2*2589.36</f>
        <v>3107.232</v>
      </c>
    </row>
    <row r="22" spans="1:5" x14ac:dyDescent="0.3">
      <c r="A22" s="1">
        <v>2020</v>
      </c>
      <c r="B22">
        <v>162</v>
      </c>
      <c r="C22" t="s">
        <v>10</v>
      </c>
      <c r="D22">
        <v>8</v>
      </c>
      <c r="E22" s="2">
        <v>881.44</v>
      </c>
    </row>
    <row r="23" spans="1:5" x14ac:dyDescent="0.3">
      <c r="A23" s="1">
        <v>2021</v>
      </c>
      <c r="B23">
        <v>162</v>
      </c>
      <c r="C23" t="s">
        <v>10</v>
      </c>
      <c r="D23">
        <v>36</v>
      </c>
      <c r="E23" s="2">
        <v>1461.66</v>
      </c>
    </row>
    <row r="24" spans="1:5" x14ac:dyDescent="0.3">
      <c r="A24" s="1">
        <v>2022</v>
      </c>
      <c r="B24">
        <v>162</v>
      </c>
      <c r="C24" t="s">
        <v>10</v>
      </c>
      <c r="D24">
        <v>16</v>
      </c>
      <c r="E24" s="2">
        <v>919.52</v>
      </c>
    </row>
    <row r="25" spans="1:5" x14ac:dyDescent="0.3">
      <c r="A25" s="1">
        <v>2023</v>
      </c>
      <c r="B25">
        <v>162</v>
      </c>
      <c r="C25" t="s">
        <v>10</v>
      </c>
      <c r="D25" s="3">
        <f>1.2*3</f>
        <v>3.5999999999999996</v>
      </c>
      <c r="E25" s="2">
        <f>1.2*517.4</f>
        <v>620.88</v>
      </c>
    </row>
    <row r="26" spans="1:5" x14ac:dyDescent="0.3">
      <c r="A26" s="1">
        <v>2020</v>
      </c>
      <c r="B26">
        <v>171</v>
      </c>
      <c r="C26" t="s">
        <v>11</v>
      </c>
      <c r="D26">
        <v>16</v>
      </c>
      <c r="E26" s="2">
        <v>2548.92</v>
      </c>
    </row>
    <row r="27" spans="1:5" x14ac:dyDescent="0.3">
      <c r="A27" s="1">
        <v>2021</v>
      </c>
      <c r="B27">
        <v>171</v>
      </c>
      <c r="C27" t="s">
        <v>11</v>
      </c>
      <c r="D27">
        <v>8</v>
      </c>
      <c r="E27" s="2">
        <v>891.72</v>
      </c>
    </row>
    <row r="28" spans="1:5" x14ac:dyDescent="0.3">
      <c r="A28" s="1">
        <v>2022</v>
      </c>
      <c r="B28">
        <v>171</v>
      </c>
      <c r="C28" t="s">
        <v>11</v>
      </c>
      <c r="D28">
        <v>24</v>
      </c>
      <c r="E28" s="2">
        <v>1838.03</v>
      </c>
    </row>
    <row r="29" spans="1:5" x14ac:dyDescent="0.3">
      <c r="A29" s="1">
        <v>2023</v>
      </c>
      <c r="B29">
        <v>171</v>
      </c>
      <c r="C29" t="s">
        <v>11</v>
      </c>
      <c r="D29">
        <f>1.2*0</f>
        <v>0</v>
      </c>
      <c r="E29" s="2">
        <v>0</v>
      </c>
    </row>
    <row r="30" spans="1:5" x14ac:dyDescent="0.3">
      <c r="A30" s="1">
        <v>2020</v>
      </c>
      <c r="B30">
        <v>174</v>
      </c>
      <c r="C30" t="s">
        <v>12</v>
      </c>
      <c r="D30">
        <v>0</v>
      </c>
      <c r="E30" s="2">
        <v>0</v>
      </c>
    </row>
    <row r="31" spans="1:5" x14ac:dyDescent="0.3">
      <c r="A31" s="1">
        <v>2021</v>
      </c>
      <c r="B31">
        <v>174</v>
      </c>
      <c r="C31" t="s">
        <v>12</v>
      </c>
      <c r="D31">
        <v>16</v>
      </c>
      <c r="E31" s="2">
        <v>1334.95</v>
      </c>
    </row>
    <row r="32" spans="1:5" x14ac:dyDescent="0.3">
      <c r="A32" s="1">
        <v>2022</v>
      </c>
      <c r="B32">
        <v>174</v>
      </c>
      <c r="C32" t="s">
        <v>12</v>
      </c>
      <c r="D32">
        <v>23</v>
      </c>
      <c r="E32" s="2">
        <v>1069.3499999999999</v>
      </c>
    </row>
    <row r="33" spans="1:5" x14ac:dyDescent="0.3">
      <c r="A33" s="1">
        <v>2023</v>
      </c>
      <c r="B33">
        <v>174</v>
      </c>
      <c r="C33" t="s">
        <v>12</v>
      </c>
      <c r="D33">
        <f>1.2*0</f>
        <v>0</v>
      </c>
      <c r="E33" s="2">
        <v>0</v>
      </c>
    </row>
    <row r="34" spans="1:5" x14ac:dyDescent="0.3">
      <c r="A34" s="1">
        <v>2020</v>
      </c>
      <c r="B34">
        <v>179</v>
      </c>
      <c r="C34" t="s">
        <v>13</v>
      </c>
      <c r="D34">
        <v>34</v>
      </c>
      <c r="E34" s="2">
        <v>2723.61</v>
      </c>
    </row>
    <row r="35" spans="1:5" x14ac:dyDescent="0.3">
      <c r="A35" s="1">
        <v>2021</v>
      </c>
      <c r="B35">
        <v>179</v>
      </c>
      <c r="C35" t="s">
        <v>13</v>
      </c>
      <c r="D35">
        <v>21</v>
      </c>
      <c r="E35" s="2">
        <v>2967.9</v>
      </c>
    </row>
    <row r="36" spans="1:5" x14ac:dyDescent="0.3">
      <c r="A36" s="1">
        <v>2022</v>
      </c>
      <c r="B36">
        <v>179</v>
      </c>
      <c r="C36" t="s">
        <v>13</v>
      </c>
      <c r="D36">
        <v>2</v>
      </c>
      <c r="E36" s="2">
        <v>301.27999999999997</v>
      </c>
    </row>
    <row r="37" spans="1:5" x14ac:dyDescent="0.3">
      <c r="A37" s="1">
        <v>2023</v>
      </c>
      <c r="B37">
        <v>179</v>
      </c>
      <c r="C37" t="s">
        <v>13</v>
      </c>
      <c r="D37">
        <f>1.2*5</f>
        <v>6</v>
      </c>
      <c r="E37" s="2">
        <f>1.2*139.95</f>
        <v>167.93999999999997</v>
      </c>
    </row>
    <row r="38" spans="1:5" x14ac:dyDescent="0.3">
      <c r="A38" s="1">
        <v>2020</v>
      </c>
      <c r="B38">
        <v>197</v>
      </c>
      <c r="C38" t="s">
        <v>14</v>
      </c>
      <c r="D38">
        <v>37</v>
      </c>
      <c r="E38" s="2">
        <v>4533.8500000000004</v>
      </c>
    </row>
    <row r="39" spans="1:5" x14ac:dyDescent="0.3">
      <c r="A39" s="1">
        <v>2021</v>
      </c>
      <c r="B39">
        <v>197</v>
      </c>
      <c r="C39" t="s">
        <v>14</v>
      </c>
      <c r="D39">
        <v>6</v>
      </c>
      <c r="E39" s="2">
        <v>871.2</v>
      </c>
    </row>
    <row r="40" spans="1:5" x14ac:dyDescent="0.3">
      <c r="A40" s="1">
        <v>2022</v>
      </c>
      <c r="B40">
        <v>197</v>
      </c>
      <c r="C40" t="s">
        <v>14</v>
      </c>
      <c r="D40">
        <v>6</v>
      </c>
      <c r="E40" s="2">
        <v>666.36</v>
      </c>
    </row>
    <row r="41" spans="1:5" x14ac:dyDescent="0.3">
      <c r="A41" s="1">
        <v>2023</v>
      </c>
      <c r="B41">
        <v>197</v>
      </c>
      <c r="C41" t="s">
        <v>14</v>
      </c>
      <c r="D41" s="3">
        <f>1.2*4</f>
        <v>4.8</v>
      </c>
      <c r="E41" s="2">
        <f>1.2*67.88</f>
        <v>81.455999999999989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BCED36-6271-439B-805C-E4C52D4D93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worstproducts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Rianna Sundlie</dc:creator>
  <cp:lastModifiedBy>Rianna Sundlie</cp:lastModifiedBy>
  <dcterms:created xsi:type="dcterms:W3CDTF">2026-06-21T02:59:01Z</dcterms:created>
  <dcterms:modified xsi:type="dcterms:W3CDTF">2026-06-21T03:00:14Z</dcterms:modified>
</cp:coreProperties>
</file>