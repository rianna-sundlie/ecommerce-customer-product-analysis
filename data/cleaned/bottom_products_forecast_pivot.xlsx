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2e79b2f4e42b9bb/Desktop/acme-buisness-analysis/data/cleaned/"/>
    </mc:Choice>
  </mc:AlternateContent>
  <xr:revisionPtr revIDLastSave="519" documentId="8_{1EA3D19C-4C27-4E08-9559-779EF2DC7AD0}" xr6:coauthVersionLast="47" xr6:coauthVersionMax="47" xr10:uidLastSave="{1C100030-85CD-4AFB-AB17-80550B13B478}"/>
  <bookViews>
    <workbookView xWindow="-110" yWindow="-110" windowWidth="21820" windowHeight="13900" xr2:uid="{70BF339A-E950-47CC-9907-DFFB115F35D9}"/>
  </bookViews>
  <sheets>
    <sheet name="worstproducts" sheetId="1" r:id="rId1"/>
  </sheets>
  <definedNames>
    <definedName name="ExternalData_1" localSheetId="0" hidden="1">worstproducts!$A$1:$E$41</definedName>
  </definedNames>
  <calcPr calcId="191029"/>
  <pivotCaches>
    <pivotCache cacheId="4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1" i="1" l="1"/>
  <c r="D37" i="1"/>
  <c r="D33" i="1"/>
  <c r="D29" i="1"/>
  <c r="D25" i="1"/>
  <c r="D21" i="1"/>
  <c r="D17" i="1"/>
  <c r="D13" i="1"/>
  <c r="D9" i="1"/>
  <c r="D5" i="1"/>
  <c r="K3" i="1"/>
  <c r="K2" i="1"/>
  <c r="J6" i="1"/>
  <c r="J3" i="1"/>
  <c r="D2" i="1"/>
  <c r="E41" i="1"/>
  <c r="E37" i="1"/>
  <c r="E25" i="1"/>
  <c r="E21" i="1"/>
  <c r="E17" i="1"/>
  <c r="E13" i="1"/>
  <c r="E9" i="1"/>
  <c r="E5" i="1"/>
  <c r="K6" i="1" l="1"/>
  <c r="K5" i="1"/>
  <c r="J5" i="1"/>
  <c r="J4" i="1"/>
  <c r="K4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820606-DEAE-4314-8278-248442202D20}" keepAlive="1" name="Query - worstproducts (2)" description="Connection to the 'worstproducts (2)' query in the workbook." type="5" refreshedVersion="8" background="1" saveData="1">
    <dbPr connection="Provider=Microsoft.Mashup.OleDb.1;Data Source=$Workbook$;Location=&quot;worstproducts (2)&quot;;Extended Properties=&quot;&quot;" command="SELECT * FROM [worstproducts (2)]"/>
  </connection>
</connections>
</file>

<file path=xl/sharedStrings.xml><?xml version="1.0" encoding="utf-8"?>
<sst xmlns="http://schemas.openxmlformats.org/spreadsheetml/2006/main" count="74" uniqueCount="21">
  <si>
    <t>year</t>
  </si>
  <si>
    <t>productId</t>
  </si>
  <si>
    <t>productName</t>
  </si>
  <si>
    <t>quantitySold</t>
  </si>
  <si>
    <t>revenue</t>
  </si>
  <si>
    <t>Incredible Bronze Keyboard</t>
  </si>
  <si>
    <t>Mediorce Rubber Bench</t>
  </si>
  <si>
    <t>Sleek Bronze Keyboard</t>
  </si>
  <si>
    <t>Rustic Linen Computer</t>
  </si>
  <si>
    <t>Incredible Leather Shoes</t>
  </si>
  <si>
    <t>Fantastic Wooden Chair</t>
  </si>
  <si>
    <t>Synergistic Iron Car</t>
  </si>
  <si>
    <t>Intelligent Plastic Plate</t>
  </si>
  <si>
    <t>Fantastic Leather Bench</t>
  </si>
  <si>
    <t>Enormous Wool Wallet</t>
  </si>
  <si>
    <t>Mediocre Rubber Bench</t>
  </si>
  <si>
    <t>Sum of revenue</t>
  </si>
  <si>
    <t>Column Labels</t>
  </si>
  <si>
    <t>Row Labels</t>
  </si>
  <si>
    <t>Grand Total</t>
  </si>
  <si>
    <t>Sum of quantitySold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</si>
</sst>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theme="0"/>
      <name val="Tw Cen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/>
    <xf numFmtId="1" fontId="0" fillId="0" borderId="0" xfId="1" applyNumberFormat="1" applyFont="1"/>
    <xf numFmtId="44" fontId="0" fillId="0" borderId="0" xfId="1" applyFont="1"/>
    <xf numFmtId="1" fontId="0" fillId="3" borderId="2" xfId="1" applyNumberFormat="1" applyFont="1" applyFill="1" applyBorder="1"/>
    <xf numFmtId="0" fontId="0" fillId="3" borderId="2" xfId="0" applyFill="1" applyBorder="1"/>
    <xf numFmtId="1" fontId="0" fillId="3" borderId="2" xfId="0" applyNumberFormat="1" applyFill="1" applyBorder="1"/>
    <xf numFmtId="44" fontId="0" fillId="3" borderId="2" xfId="1" applyFont="1" applyFill="1" applyBorder="1"/>
    <xf numFmtId="1" fontId="0" fillId="0" borderId="2" xfId="1" applyNumberFormat="1" applyFont="1" applyBorder="1"/>
    <xf numFmtId="0" fontId="0" fillId="0" borderId="2" xfId="0" applyBorder="1"/>
    <xf numFmtId="1" fontId="0" fillId="0" borderId="2" xfId="0" applyNumberFormat="1" applyBorder="1"/>
    <xf numFmtId="44" fontId="0" fillId="0" borderId="2" xfId="1" applyFont="1" applyBorder="1"/>
    <xf numFmtId="1" fontId="0" fillId="0" borderId="0" xfId="0" applyNumberFormat="1"/>
    <xf numFmtId="1" fontId="0" fillId="3" borderId="3" xfId="1" applyNumberFormat="1" applyFont="1" applyFill="1" applyBorder="1"/>
    <xf numFmtId="0" fontId="0" fillId="3" borderId="3" xfId="0" applyFill="1" applyBorder="1"/>
    <xf numFmtId="1" fontId="0" fillId="3" borderId="3" xfId="0" applyNumberFormat="1" applyFill="1" applyBorder="1"/>
    <xf numFmtId="44" fontId="0" fillId="3" borderId="3" xfId="1" applyFont="1" applyFill="1" applyBorder="1"/>
    <xf numFmtId="1" fontId="0" fillId="0" borderId="0" xfId="0" applyNumberFormat="1" applyAlignment="1">
      <alignment horizontal="left"/>
    </xf>
    <xf numFmtId="44" fontId="0" fillId="0" borderId="0" xfId="0" applyNumberFormat="1"/>
    <xf numFmtId="0" fontId="3" fillId="4" borderId="0" xfId="0" applyFont="1" applyFill="1"/>
    <xf numFmtId="1" fontId="3" fillId="4" borderId="0" xfId="0" applyNumberFormat="1" applyFont="1" applyFill="1" applyAlignment="1">
      <alignment horizontal="left"/>
    </xf>
    <xf numFmtId="44" fontId="3" fillId="4" borderId="0" xfId="0" applyNumberFormat="1" applyFont="1" applyFill="1"/>
    <xf numFmtId="0" fontId="0" fillId="0" borderId="0" xfId="0" pivotButton="1"/>
    <xf numFmtId="0" fontId="0" fillId="0" borderId="0" xfId="0" applyNumberFormat="1"/>
  </cellXfs>
  <cellStyles count="2">
    <cellStyle name="Currency" xfId="1" builtinId="4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34" formatCode="_-&quot;$&quot;* #,##0.00_-;\-&quot;$&quot;* #,##0.00_-;_-&quot;$&quot;* &quot;-&quot;??_-;_-@_-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" formatCode="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" formatCode="0"/>
    </dxf>
    <dxf>
      <font>
        <color theme="0"/>
      </font>
    </dxf>
    <dxf>
      <font>
        <color theme="0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anna Sundlie" refreshedDate="46194.331818981482" createdVersion="8" refreshedVersion="8" minRefreshableVersion="3" recordCount="40" xr:uid="{080D3214-0A51-44FA-ADFA-BD13EB813E24}">
  <cacheSource type="worksheet">
    <worksheetSource name="worstproducts12"/>
  </cacheSource>
  <cacheFields count="5">
    <cacheField name="year" numFmtId="1">
      <sharedItems containsSemiMixedTypes="0" containsString="0" containsNumber="1" containsInteger="1" minValue="2020" maxValue="2023" count="4">
        <n v="2020"/>
        <n v="2021"/>
        <n v="2022"/>
        <n v="2023"/>
      </sharedItems>
    </cacheField>
    <cacheField name="productId" numFmtId="0">
      <sharedItems containsSemiMixedTypes="0" containsString="0" containsNumber="1" containsInteger="1" minValue="2" maxValue="197"/>
    </cacheField>
    <cacheField name="productName" numFmtId="0">
      <sharedItems count="10">
        <s v="Incredible Bronze Keyboard"/>
        <s v="Incredible Leather Shoes"/>
        <s v="Synergistic Iron Car"/>
        <s v="Intelligent Plastic Plate"/>
        <s v="Fantastic Leather Bench"/>
        <s v="Enormous Wool Wallet"/>
        <s v="Mediocre Rubber Bench"/>
        <s v="Sleek Bronze Keyboard"/>
        <s v="Rustic Linen Computer"/>
        <s v="Fantastic Wooden Chair"/>
      </sharedItems>
    </cacheField>
    <cacheField name="quantitySold" numFmtId="0">
      <sharedItems containsSemiMixedTypes="0" containsString="0" containsNumber="1" containsInteger="1" minValue="0" maxValue="37"/>
    </cacheField>
    <cacheField name="revenue" numFmtId="44">
      <sharedItems containsSemiMixedTypes="0" containsString="0" containsNumber="1" minValue="0" maxValue="4533.85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n v="2"/>
    <x v="0"/>
    <n v="21"/>
    <n v="2038.05"/>
  </r>
  <r>
    <x v="1"/>
    <n v="2"/>
    <x v="0"/>
    <n v="26"/>
    <n v="2220.1799999999998"/>
  </r>
  <r>
    <x v="2"/>
    <n v="2"/>
    <x v="0"/>
    <n v="8"/>
    <n v="738.99"/>
  </r>
  <r>
    <x v="3"/>
    <n v="2"/>
    <x v="0"/>
    <n v="7"/>
    <n v="617.61599999999987"/>
  </r>
  <r>
    <x v="0"/>
    <n v="13"/>
    <x v="1"/>
    <n v="10"/>
    <n v="1441.4"/>
  </r>
  <r>
    <x v="1"/>
    <n v="13"/>
    <x v="1"/>
    <n v="0"/>
    <n v="0"/>
  </r>
  <r>
    <x v="2"/>
    <n v="13"/>
    <x v="1"/>
    <n v="25"/>
    <n v="3508.29"/>
  </r>
  <r>
    <x v="3"/>
    <n v="13"/>
    <x v="1"/>
    <n v="24"/>
    <n v="2763.7439999999997"/>
  </r>
  <r>
    <x v="0"/>
    <n v="61"/>
    <x v="2"/>
    <n v="20"/>
    <n v="2427.4899999999998"/>
  </r>
  <r>
    <x v="1"/>
    <n v="61"/>
    <x v="2"/>
    <n v="0"/>
    <n v="0"/>
  </r>
  <r>
    <x v="2"/>
    <n v="61"/>
    <x v="2"/>
    <n v="10"/>
    <n v="76.599999999999994"/>
  </r>
  <r>
    <x v="3"/>
    <n v="61"/>
    <x v="2"/>
    <n v="34"/>
    <n v="2143.3439999999996"/>
  </r>
  <r>
    <x v="0"/>
    <n v="94"/>
    <x v="3"/>
    <n v="11"/>
    <n v="1447.05"/>
  </r>
  <r>
    <x v="1"/>
    <n v="94"/>
    <x v="3"/>
    <n v="0"/>
    <n v="0"/>
  </r>
  <r>
    <x v="2"/>
    <n v="94"/>
    <x v="3"/>
    <n v="33"/>
    <n v="3225.18"/>
  </r>
  <r>
    <x v="3"/>
    <n v="94"/>
    <x v="3"/>
    <n v="17"/>
    <n v="1250.7839999999999"/>
  </r>
  <r>
    <x v="0"/>
    <n v="157"/>
    <x v="4"/>
    <n v="0"/>
    <n v="0"/>
  </r>
  <r>
    <x v="1"/>
    <n v="157"/>
    <x v="4"/>
    <n v="27"/>
    <n v="2288.35"/>
  </r>
  <r>
    <x v="2"/>
    <n v="157"/>
    <x v="4"/>
    <n v="1"/>
    <n v="75.739999999999995"/>
  </r>
  <r>
    <x v="3"/>
    <n v="157"/>
    <x v="4"/>
    <n v="35"/>
    <n v="3107.232"/>
  </r>
  <r>
    <x v="0"/>
    <n v="162"/>
    <x v="5"/>
    <n v="8"/>
    <n v="881.44"/>
  </r>
  <r>
    <x v="1"/>
    <n v="162"/>
    <x v="5"/>
    <n v="36"/>
    <n v="1461.66"/>
  </r>
  <r>
    <x v="2"/>
    <n v="162"/>
    <x v="5"/>
    <n v="16"/>
    <n v="919.52"/>
  </r>
  <r>
    <x v="3"/>
    <n v="162"/>
    <x v="5"/>
    <n v="4"/>
    <n v="620.88"/>
  </r>
  <r>
    <x v="0"/>
    <n v="171"/>
    <x v="6"/>
    <n v="16"/>
    <n v="2548.92"/>
  </r>
  <r>
    <x v="1"/>
    <n v="171"/>
    <x v="6"/>
    <n v="8"/>
    <n v="891.72"/>
  </r>
  <r>
    <x v="2"/>
    <n v="171"/>
    <x v="6"/>
    <n v="24"/>
    <n v="1838.03"/>
  </r>
  <r>
    <x v="3"/>
    <n v="171"/>
    <x v="6"/>
    <n v="0"/>
    <n v="0"/>
  </r>
  <r>
    <x v="0"/>
    <n v="174"/>
    <x v="7"/>
    <n v="0"/>
    <n v="0"/>
  </r>
  <r>
    <x v="1"/>
    <n v="174"/>
    <x v="7"/>
    <n v="16"/>
    <n v="1334.95"/>
  </r>
  <r>
    <x v="2"/>
    <n v="174"/>
    <x v="7"/>
    <n v="23"/>
    <n v="1069.3499999999999"/>
  </r>
  <r>
    <x v="3"/>
    <n v="174"/>
    <x v="7"/>
    <n v="0"/>
    <n v="0"/>
  </r>
  <r>
    <x v="0"/>
    <n v="179"/>
    <x v="8"/>
    <n v="34"/>
    <n v="2723.61"/>
  </r>
  <r>
    <x v="1"/>
    <n v="179"/>
    <x v="8"/>
    <n v="21"/>
    <n v="2967.9"/>
  </r>
  <r>
    <x v="2"/>
    <n v="179"/>
    <x v="8"/>
    <n v="2"/>
    <n v="301.27999999999997"/>
  </r>
  <r>
    <x v="3"/>
    <n v="179"/>
    <x v="8"/>
    <n v="6"/>
    <n v="167.93999999999997"/>
  </r>
  <r>
    <x v="0"/>
    <n v="197"/>
    <x v="9"/>
    <n v="37"/>
    <n v="4533.8500000000004"/>
  </r>
  <r>
    <x v="1"/>
    <n v="197"/>
    <x v="9"/>
    <n v="6"/>
    <n v="871.2"/>
  </r>
  <r>
    <x v="2"/>
    <n v="197"/>
    <x v="9"/>
    <n v="6"/>
    <n v="666.36"/>
  </r>
  <r>
    <x v="3"/>
    <n v="197"/>
    <x v="9"/>
    <n v="5"/>
    <n v="81.4559999999999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FB82F-2866-42CD-8FCC-0EC7B7735BC2}" name="PivotTable18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27:M33" firstHeaderRow="1" firstDataRow="2" firstDataCol="1"/>
  <pivotFields count="5">
    <pivotField axis="axisRow" numFmtId="1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11">
        <item h="1" x="5"/>
        <item h="1" x="4"/>
        <item x="9"/>
        <item x="0"/>
        <item h="1" x="1"/>
        <item h="1" x="3"/>
        <item x="6"/>
        <item x="8"/>
        <item x="7"/>
        <item h="1" x="2"/>
        <item t="default"/>
      </items>
    </pivotField>
    <pivotField dataField="1" showAll="0"/>
    <pivotField numFmtId="4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 v="2"/>
    </i>
    <i>
      <x v="3"/>
    </i>
    <i>
      <x v="6"/>
    </i>
    <i>
      <x v="7"/>
    </i>
    <i>
      <x v="8"/>
    </i>
    <i t="grand">
      <x/>
    </i>
  </colItems>
  <dataFields count="1">
    <dataField name="Sum of quantitySold" fld="3" baseField="0" baseItem="0"/>
  </dataFields>
  <chartFormats count="1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66D8C-BC66-40A3-BC7D-20AA9A246EBE}" name="PivotTable14" cacheId="42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4">
  <location ref="J17:O23" firstHeaderRow="1" firstDataRow="2" firstDataCol="1"/>
  <pivotFields count="5">
    <pivotField axis="axisRow" numFmtId="1" showAll="0">
      <items count="5">
        <item x="0"/>
        <item x="1"/>
        <item x="2"/>
        <item x="3"/>
        <item t="default"/>
      </items>
    </pivotField>
    <pivotField showAll="0"/>
    <pivotField axis="axisCol" showAll="0">
      <items count="11">
        <item h="1" x="5"/>
        <item h="1" x="4"/>
        <item x="9"/>
        <item x="0"/>
        <item h="1" x="1"/>
        <item h="1" x="3"/>
        <item x="6"/>
        <item x="8"/>
        <item x="7"/>
        <item h="1" x="2"/>
        <item t="default"/>
      </items>
    </pivotField>
    <pivotField showAll="0"/>
    <pivotField dataField="1" numFmtId="44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5">
    <i>
      <x v="2"/>
    </i>
    <i>
      <x v="3"/>
    </i>
    <i>
      <x v="6"/>
    </i>
    <i>
      <x v="7"/>
    </i>
    <i>
      <x v="8"/>
    </i>
  </colItems>
  <dataFields count="1">
    <dataField name="Sum of revenue" fld="4" baseField="0" baseItem="0" numFmtId="44"/>
  </dataFields>
  <formats count="14">
    <format dxfId="25">
      <pivotArea type="origin" dataOnly="0" labelOnly="1" outline="0" fieldPosition="0"/>
    </format>
    <format dxfId="24">
      <pivotArea field="2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0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type="origin" dataOnly="0" labelOnly="1" outline="0" fieldPosition="0"/>
    </format>
    <format dxfId="19">
      <pivotArea field="2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</formats>
  <chartFormats count="10"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B2362D-25F9-4594-8F18-D509DA52B5F6}" autoFormatId="16" applyNumberFormats="0" applyBorderFormats="0" applyFontFormats="0" applyPatternFormats="0" applyAlignmentFormats="0" applyWidthHeightFormats="0">
  <queryTableRefresh nextId="8">
    <queryTableFields count="5">
      <queryTableField id="6" name="year" tableColumnId="3"/>
      <queryTableField id="1" name="productId" tableColumnId="1"/>
      <queryTableField id="2" name="productName" tableColumnId="2"/>
      <queryTableField id="4" name="quantitySold" tableColumnId="4"/>
      <queryTableField id="5" name="reven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7CAA5-41F7-4E09-B9E2-42E205B7DB15}" name="worstproducts12" displayName="worstproducts12" ref="A1:E41" tableType="queryTable" totalsRowShown="0">
  <autoFilter ref="A1:E41" xr:uid="{07E7A765-F194-4CE3-8E80-62CCEF6BEF77}"/>
  <tableColumns count="5">
    <tableColumn id="3" xr3:uid="{95C93D06-2594-498C-B528-3A0F510742A1}" uniqueName="3" name="year" queryTableFieldId="6" dataDxfId="11" dataCellStyle="Currency"/>
    <tableColumn id="1" xr3:uid="{5E6D97E7-F847-48F9-9242-16C48EE0A262}" uniqueName="1" name="productId" queryTableFieldId="1"/>
    <tableColumn id="2" xr3:uid="{51DC14A8-F188-4054-A8D5-C109AF958118}" uniqueName="2" name="productName" queryTableFieldId="2" dataDxfId="10"/>
    <tableColumn id="4" xr3:uid="{546F7C49-5148-4B99-B156-96F2195CD1A5}" uniqueName="4" name="quantitySold" queryTableFieldId="4"/>
    <tableColumn id="5" xr3:uid="{15740FF4-3351-4B0D-9131-1F735B0FB324}" uniqueName="5" name="revenue" queryTableFieldId="5" dataDxfId="9" dataCellStyle="Curr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3F1652-B26B-467C-A5EF-56CB3DEDA602}" name="Table13" displayName="Table13" ref="G1:K6" totalsRowShown="0" headerRowDxfId="8" headerRowBorderDxfId="7" tableBorderDxfId="6" totalsRowBorderDxfId="5">
  <autoFilter ref="G1:K6" xr:uid="{E3DD5DB3-91E6-41AA-9E64-6A567604D74E}"/>
  <tableColumns count="5">
    <tableColumn id="1" xr3:uid="{768A74C1-D6EE-46EC-B60F-BC874A43379C}" name="year" dataDxfId="4" dataCellStyle="Currency"/>
    <tableColumn id="2" xr3:uid="{F51B1AEC-B2F9-42D9-93D3-FD169802F733}" name="productId" dataDxfId="3"/>
    <tableColumn id="3" xr3:uid="{ED3FD9BA-48BB-459E-823D-93E28B7436B6}" name="productName" dataDxfId="2"/>
    <tableColumn id="4" xr3:uid="{A262CE90-DBA5-4402-8A68-3A6CA0C03B37}" name="quantitySold" dataDxfId="1"/>
    <tableColumn id="5" xr3:uid="{91D1F5EB-D88D-40EF-99FA-0CE91171527F}" name="revenue" dataDxfId="0" dataCellStyle="Currenc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Droplet">
  <a:themeElements>
    <a:clrScheme name="Droplet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Drople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roplet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0674B-B091-44AF-BA28-4A8AD25F2926}">
  <dimension ref="A1:O41"/>
  <sheetViews>
    <sheetView tabSelected="1" zoomScale="70" zoomScaleNormal="70" workbookViewId="0">
      <selection activeCell="J40" sqref="J40"/>
    </sheetView>
  </sheetViews>
  <sheetFormatPr defaultRowHeight="14" x14ac:dyDescent="0.3"/>
  <cols>
    <col min="1" max="1" width="10" customWidth="1"/>
    <col min="2" max="2" width="11.4140625" customWidth="1"/>
    <col min="3" max="3" width="24.75" customWidth="1"/>
    <col min="4" max="4" width="13.9140625" customWidth="1"/>
    <col min="5" max="5" width="10.33203125" customWidth="1"/>
    <col min="6" max="6" width="9.83203125" customWidth="1"/>
    <col min="7" max="7" width="16.5" bestFit="1" customWidth="1"/>
    <col min="8" max="8" width="19.33203125" bestFit="1" customWidth="1"/>
    <col min="9" max="9" width="22.75" bestFit="1" customWidth="1"/>
    <col min="10" max="10" width="19.25" bestFit="1" customWidth="1"/>
    <col min="11" max="11" width="18.1640625" bestFit="1" customWidth="1"/>
    <col min="12" max="12" width="19.08203125" bestFit="1" customWidth="1"/>
    <col min="13" max="13" width="10" bestFit="1" customWidth="1"/>
    <col min="14" max="14" width="19.25" bestFit="1" customWidth="1"/>
    <col min="15" max="15" width="18.1640625" bestFit="1" customWidth="1"/>
    <col min="16" max="16" width="19.08203125" bestFit="1" customWidth="1"/>
    <col min="17" max="17" width="15.9140625" bestFit="1" customWidth="1"/>
    <col min="18" max="18" width="10" bestFit="1" customWidth="1"/>
    <col min="19" max="26" width="22.75" bestFit="1" customWidth="1"/>
    <col min="27" max="27" width="14.58203125" bestFit="1" customWidth="1"/>
    <col min="28" max="28" width="21.08203125" bestFit="1" customWidth="1"/>
    <col min="29" max="29" width="4.75" bestFit="1" customWidth="1"/>
    <col min="30" max="30" width="23.83203125" bestFit="1" customWidth="1"/>
    <col min="31" max="31" width="24.4140625" bestFit="1" customWidth="1"/>
    <col min="32" max="34" width="4.75" bestFit="1" customWidth="1"/>
    <col min="35" max="35" width="27.25" bestFit="1" customWidth="1"/>
    <col min="36" max="36" width="21.4140625" bestFit="1" customWidth="1"/>
    <col min="37" max="39" width="4.75" bestFit="1" customWidth="1"/>
    <col min="40" max="40" width="24.25" bestFit="1" customWidth="1"/>
    <col min="41" max="41" width="20.33203125" bestFit="1" customWidth="1"/>
    <col min="42" max="44" width="4.75" bestFit="1" customWidth="1"/>
    <col min="45" max="45" width="23.1640625" bestFit="1" customWidth="1"/>
    <col min="46" max="46" width="20.9140625" bestFit="1" customWidth="1"/>
    <col min="47" max="49" width="4.75" bestFit="1" customWidth="1"/>
    <col min="50" max="50" width="23.75" bestFit="1" customWidth="1"/>
    <col min="51" max="51" width="19.83203125" bestFit="1" customWidth="1"/>
    <col min="52" max="54" width="4.75" bestFit="1" customWidth="1"/>
    <col min="55" max="55" width="22.6640625" bestFit="1" customWidth="1"/>
    <col min="56" max="56" width="20.75" bestFit="1" customWidth="1"/>
    <col min="57" max="59" width="4.75" bestFit="1" customWidth="1"/>
    <col min="60" max="60" width="23.58203125" bestFit="1" customWidth="1"/>
    <col min="61" max="61" width="17.58203125" bestFit="1" customWidth="1"/>
    <col min="62" max="64" width="4.75" bestFit="1" customWidth="1"/>
    <col min="65" max="65" width="20.4140625" bestFit="1" customWidth="1"/>
    <col min="66" max="66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</row>
    <row r="2" spans="1:11" x14ac:dyDescent="0.3">
      <c r="A2" s="2">
        <v>2020</v>
      </c>
      <c r="B2">
        <v>2</v>
      </c>
      <c r="C2" t="s">
        <v>5</v>
      </c>
      <c r="D2">
        <f>MAX(0,21)</f>
        <v>21</v>
      </c>
      <c r="E2" s="3">
        <v>2038.05</v>
      </c>
      <c r="G2" s="4">
        <v>2024</v>
      </c>
      <c r="H2" s="5">
        <v>2</v>
      </c>
      <c r="I2" s="5" t="s">
        <v>5</v>
      </c>
      <c r="J2" s="6">
        <f>IF(_xlfn.FORECAST.LINEAR(2024, D2:D5, A2:A5) &lt; 0, 0, _xlfn.FORECAST.LINEAR(2024, D2:D5, A2:A5))</f>
        <v>0.5</v>
      </c>
      <c r="K2" s="7">
        <f>IF(_xlfn.FORECAST.LINEAR(2024, E2:E5, A2:A5)&lt;0, 0, _xlfn.FORECAST.LINEAR(2024, E2:E5, A2:A5))</f>
        <v>0</v>
      </c>
    </row>
    <row r="3" spans="1:11" x14ac:dyDescent="0.3">
      <c r="A3" s="2">
        <v>2021</v>
      </c>
      <c r="B3">
        <v>2</v>
      </c>
      <c r="C3" t="s">
        <v>5</v>
      </c>
      <c r="D3">
        <v>26</v>
      </c>
      <c r="E3" s="3">
        <v>2220.1799999999998</v>
      </c>
      <c r="G3" s="8">
        <v>2024</v>
      </c>
      <c r="H3" s="9">
        <v>171</v>
      </c>
      <c r="I3" s="9" t="s">
        <v>6</v>
      </c>
      <c r="J3" s="10">
        <f>IF(_xlfn.FORECAST.LINEAR(2024, D26:D29, A26:A29)&lt;0, 0, _xlfn.FORECAST.LINEAR(2024, D26:D29, A26:A29))</f>
        <v>4</v>
      </c>
      <c r="K3" s="11">
        <f>IF(_xlfn.FORECAST.LINEAR(2024, E26:E29, A26:A29)&lt;0, 0, _xlfn.FORECAST.LINEAR(2024, E26:E29, A26:A29))</f>
        <v>0</v>
      </c>
    </row>
    <row r="4" spans="1:11" x14ac:dyDescent="0.3">
      <c r="A4" s="2">
        <v>2022</v>
      </c>
      <c r="B4">
        <v>2</v>
      </c>
      <c r="C4" t="s">
        <v>5</v>
      </c>
      <c r="D4">
        <v>8</v>
      </c>
      <c r="E4" s="3">
        <v>738.99</v>
      </c>
      <c r="G4" s="4">
        <v>2024</v>
      </c>
      <c r="H4" s="5">
        <v>174</v>
      </c>
      <c r="I4" s="5" t="s">
        <v>7</v>
      </c>
      <c r="J4" s="6">
        <f>IF(_xlfn.FORECAST.LINEAR(2024, D30:D33, A30:A33)&lt;0, 0, _xlfn.FORECAST.LINEAR(2024, D30:D33, A30:A33))</f>
        <v>11.5</v>
      </c>
      <c r="K4" s="7">
        <f>IF(_xlfn.FORECAST.LINEAR(2024, D30:D33, A30:A33)&lt;0, 0, _xlfn.FORECAST.LINEAR(2024, D30:D33, A30:A33))</f>
        <v>11.5</v>
      </c>
    </row>
    <row r="5" spans="1:11" x14ac:dyDescent="0.3">
      <c r="A5" s="2">
        <v>2023</v>
      </c>
      <c r="B5">
        <v>2</v>
      </c>
      <c r="C5" t="s">
        <v>5</v>
      </c>
      <c r="D5" s="12">
        <f>ROUND(1.2*6, 0)</f>
        <v>7</v>
      </c>
      <c r="E5" s="3">
        <f>1.2*514.68</f>
        <v>617.61599999999987</v>
      </c>
      <c r="G5" s="8">
        <v>2024</v>
      </c>
      <c r="H5" s="9">
        <v>179</v>
      </c>
      <c r="I5" s="9" t="s">
        <v>8</v>
      </c>
      <c r="J5" s="10">
        <f>IF(_xlfn.FORECAST.LINEAR(2024, D34:D37, A34:A37)&lt;0, 0, _xlfn.FORECAST.LINEAR(2024, D34:D37, A34:A37))</f>
        <v>0</v>
      </c>
      <c r="K5" s="11">
        <f>IF(_xlfn.FORECAST.LINEAR(2024, D34:D37, A34:A37)&lt;0, 0, _xlfn.FORECAST.LINEAR(2024, D34:D37, A34:A37))</f>
        <v>0</v>
      </c>
    </row>
    <row r="6" spans="1:11" x14ac:dyDescent="0.3">
      <c r="A6" s="2">
        <v>2020</v>
      </c>
      <c r="B6">
        <v>13</v>
      </c>
      <c r="C6" t="s">
        <v>9</v>
      </c>
      <c r="D6">
        <v>10</v>
      </c>
      <c r="E6" s="3">
        <v>1441.4</v>
      </c>
      <c r="G6" s="13">
        <v>2024</v>
      </c>
      <c r="H6" s="14">
        <v>197</v>
      </c>
      <c r="I6" s="14" t="s">
        <v>10</v>
      </c>
      <c r="J6" s="15">
        <f>IF(_xlfn.FORECAST.LINEAR(2024, D38:D41, A38:A41)&lt;0, 0, _xlfn.FORECAST.LINEAR(2024, D38:D41, A38:A41))</f>
        <v>0</v>
      </c>
      <c r="K6" s="16">
        <f>IF(_xlfn.FORECAST.LINEAR(2024, D38:D41, A38:A41)&lt;0, 0, _xlfn.FORECAST.LINEAR(2024, D38:D41, A38:A41))</f>
        <v>0</v>
      </c>
    </row>
    <row r="7" spans="1:11" x14ac:dyDescent="0.3">
      <c r="A7" s="2">
        <v>2021</v>
      </c>
      <c r="B7">
        <v>13</v>
      </c>
      <c r="C7" t="s">
        <v>9</v>
      </c>
      <c r="D7">
        <v>0</v>
      </c>
      <c r="E7" s="3">
        <v>0</v>
      </c>
    </row>
    <row r="8" spans="1:11" x14ac:dyDescent="0.3">
      <c r="A8" s="2">
        <v>2022</v>
      </c>
      <c r="B8">
        <v>13</v>
      </c>
      <c r="C8" t="s">
        <v>9</v>
      </c>
      <c r="D8">
        <v>25</v>
      </c>
      <c r="E8" s="3">
        <v>3508.29</v>
      </c>
    </row>
    <row r="9" spans="1:11" x14ac:dyDescent="0.3">
      <c r="A9" s="2">
        <v>2023</v>
      </c>
      <c r="B9">
        <v>13</v>
      </c>
      <c r="C9" t="s">
        <v>9</v>
      </c>
      <c r="D9">
        <f>ROUND(1.2*20,0)</f>
        <v>24</v>
      </c>
      <c r="E9" s="3">
        <f>1.2*2303.12</f>
        <v>2763.7439999999997</v>
      </c>
    </row>
    <row r="10" spans="1:11" x14ac:dyDescent="0.3">
      <c r="A10" s="2">
        <v>2020</v>
      </c>
      <c r="B10">
        <v>61</v>
      </c>
      <c r="C10" t="s">
        <v>11</v>
      </c>
      <c r="D10">
        <v>20</v>
      </c>
      <c r="E10" s="3">
        <v>2427.4899999999998</v>
      </c>
    </row>
    <row r="11" spans="1:11" x14ac:dyDescent="0.3">
      <c r="A11" s="2">
        <v>2021</v>
      </c>
      <c r="B11">
        <v>61</v>
      </c>
      <c r="C11" t="s">
        <v>11</v>
      </c>
      <c r="D11">
        <v>0</v>
      </c>
      <c r="E11" s="3">
        <v>0</v>
      </c>
    </row>
    <row r="12" spans="1:11" x14ac:dyDescent="0.3">
      <c r="A12" s="2">
        <v>2022</v>
      </c>
      <c r="B12">
        <v>61</v>
      </c>
      <c r="C12" t="s">
        <v>11</v>
      </c>
      <c r="D12">
        <v>10</v>
      </c>
      <c r="E12" s="3">
        <v>76.599999999999994</v>
      </c>
    </row>
    <row r="13" spans="1:11" x14ac:dyDescent="0.3">
      <c r="A13" s="2">
        <v>2023</v>
      </c>
      <c r="B13">
        <v>61</v>
      </c>
      <c r="C13" t="s">
        <v>11</v>
      </c>
      <c r="D13" s="12">
        <f>ROUND(1.2*28,0)</f>
        <v>34</v>
      </c>
      <c r="E13" s="3">
        <f>1.2*1786.12</f>
        <v>2143.3439999999996</v>
      </c>
    </row>
    <row r="14" spans="1:11" x14ac:dyDescent="0.3">
      <c r="A14" s="2">
        <v>2020</v>
      </c>
      <c r="B14">
        <v>94</v>
      </c>
      <c r="C14" t="s">
        <v>12</v>
      </c>
      <c r="D14">
        <v>11</v>
      </c>
      <c r="E14" s="3">
        <v>1447.05</v>
      </c>
    </row>
    <row r="15" spans="1:11" x14ac:dyDescent="0.3">
      <c r="A15" s="2">
        <v>2021</v>
      </c>
      <c r="B15">
        <v>94</v>
      </c>
      <c r="C15" t="s">
        <v>12</v>
      </c>
      <c r="D15">
        <v>0</v>
      </c>
      <c r="E15" s="3">
        <v>0</v>
      </c>
    </row>
    <row r="16" spans="1:11" x14ac:dyDescent="0.3">
      <c r="A16" s="2">
        <v>2022</v>
      </c>
      <c r="B16">
        <v>94</v>
      </c>
      <c r="C16" t="s">
        <v>12</v>
      </c>
      <c r="D16">
        <v>33</v>
      </c>
      <c r="E16" s="3">
        <v>3225.18</v>
      </c>
    </row>
    <row r="17" spans="1:15" x14ac:dyDescent="0.3">
      <c r="A17" s="2">
        <v>2023</v>
      </c>
      <c r="B17">
        <v>94</v>
      </c>
      <c r="C17" t="s">
        <v>12</v>
      </c>
      <c r="D17" s="12">
        <f>ROUND(1.2*14,0)</f>
        <v>17</v>
      </c>
      <c r="E17" s="3">
        <f>1.2*1042.32</f>
        <v>1250.7839999999999</v>
      </c>
      <c r="J17" s="19" t="s">
        <v>16</v>
      </c>
      <c r="K17" s="19" t="s">
        <v>17</v>
      </c>
      <c r="L17" s="19"/>
      <c r="M17" s="19"/>
      <c r="N17" s="19"/>
      <c r="O17" s="19"/>
    </row>
    <row r="18" spans="1:15" x14ac:dyDescent="0.3">
      <c r="A18" s="2">
        <v>2020</v>
      </c>
      <c r="B18">
        <v>157</v>
      </c>
      <c r="C18" t="s">
        <v>13</v>
      </c>
      <c r="D18">
        <v>0</v>
      </c>
      <c r="E18" s="3">
        <v>0</v>
      </c>
      <c r="J18" s="19" t="s">
        <v>18</v>
      </c>
      <c r="K18" s="19" t="s">
        <v>10</v>
      </c>
      <c r="L18" s="19" t="s">
        <v>5</v>
      </c>
      <c r="M18" s="19" t="s">
        <v>15</v>
      </c>
      <c r="N18" s="19" t="s">
        <v>8</v>
      </c>
      <c r="O18" s="19" t="s">
        <v>7</v>
      </c>
    </row>
    <row r="19" spans="1:15" x14ac:dyDescent="0.3">
      <c r="A19" s="2">
        <v>2021</v>
      </c>
      <c r="B19">
        <v>157</v>
      </c>
      <c r="C19" t="s">
        <v>13</v>
      </c>
      <c r="D19">
        <v>27</v>
      </c>
      <c r="E19" s="3">
        <v>2288.35</v>
      </c>
      <c r="J19" s="17">
        <v>2020</v>
      </c>
      <c r="K19" s="18">
        <v>4533.8500000000004</v>
      </c>
      <c r="L19" s="18">
        <v>2038.05</v>
      </c>
      <c r="M19" s="18">
        <v>2548.92</v>
      </c>
      <c r="N19" s="18">
        <v>2723.61</v>
      </c>
      <c r="O19" s="18">
        <v>0</v>
      </c>
    </row>
    <row r="20" spans="1:15" x14ac:dyDescent="0.3">
      <c r="A20" s="2">
        <v>2022</v>
      </c>
      <c r="B20">
        <v>157</v>
      </c>
      <c r="C20" t="s">
        <v>13</v>
      </c>
      <c r="D20">
        <v>1</v>
      </c>
      <c r="E20" s="3">
        <v>75.739999999999995</v>
      </c>
      <c r="J20" s="17">
        <v>2021</v>
      </c>
      <c r="K20" s="18">
        <v>871.2</v>
      </c>
      <c r="L20" s="18">
        <v>2220.1799999999998</v>
      </c>
      <c r="M20" s="18">
        <v>891.72</v>
      </c>
      <c r="N20" s="18">
        <v>2967.9</v>
      </c>
      <c r="O20" s="18">
        <v>1334.95</v>
      </c>
    </row>
    <row r="21" spans="1:15" x14ac:dyDescent="0.3">
      <c r="A21" s="2">
        <v>2023</v>
      </c>
      <c r="B21">
        <v>157</v>
      </c>
      <c r="C21" t="s">
        <v>13</v>
      </c>
      <c r="D21" s="12">
        <f>ROUND(1.2*29, 0)</f>
        <v>35</v>
      </c>
      <c r="E21" s="3">
        <f>1.2*2589.36</f>
        <v>3107.232</v>
      </c>
      <c r="J21" s="17">
        <v>2022</v>
      </c>
      <c r="K21" s="18">
        <v>666.36</v>
      </c>
      <c r="L21" s="18">
        <v>738.99</v>
      </c>
      <c r="M21" s="18">
        <v>1838.03</v>
      </c>
      <c r="N21" s="18">
        <v>301.27999999999997</v>
      </c>
      <c r="O21" s="18">
        <v>1069.3499999999999</v>
      </c>
    </row>
    <row r="22" spans="1:15" x14ac:dyDescent="0.3">
      <c r="A22" s="2">
        <v>2020</v>
      </c>
      <c r="B22">
        <v>162</v>
      </c>
      <c r="C22" t="s">
        <v>14</v>
      </c>
      <c r="D22">
        <v>8</v>
      </c>
      <c r="E22" s="3">
        <v>881.44</v>
      </c>
      <c r="J22" s="17">
        <v>2023</v>
      </c>
      <c r="K22" s="18">
        <v>81.455999999999989</v>
      </c>
      <c r="L22" s="18">
        <v>617.61599999999987</v>
      </c>
      <c r="M22" s="18">
        <v>0</v>
      </c>
      <c r="N22" s="18">
        <v>167.93999999999997</v>
      </c>
      <c r="O22" s="18">
        <v>0</v>
      </c>
    </row>
    <row r="23" spans="1:15" x14ac:dyDescent="0.3">
      <c r="A23" s="2">
        <v>2021</v>
      </c>
      <c r="B23">
        <v>162</v>
      </c>
      <c r="C23" t="s">
        <v>14</v>
      </c>
      <c r="D23">
        <v>36</v>
      </c>
      <c r="E23" s="3">
        <v>1461.66</v>
      </c>
      <c r="J23" s="20" t="s">
        <v>19</v>
      </c>
      <c r="K23" s="21">
        <v>6152.866</v>
      </c>
      <c r="L23" s="21">
        <v>5614.8359999999993</v>
      </c>
      <c r="M23" s="21">
        <v>5278.67</v>
      </c>
      <c r="N23" s="21">
        <v>6160.73</v>
      </c>
      <c r="O23" s="21">
        <v>2404.3000000000002</v>
      </c>
    </row>
    <row r="24" spans="1:15" x14ac:dyDescent="0.3">
      <c r="A24" s="2">
        <v>2022</v>
      </c>
      <c r="B24">
        <v>162</v>
      </c>
      <c r="C24" t="s">
        <v>14</v>
      </c>
      <c r="D24">
        <v>16</v>
      </c>
      <c r="E24" s="3">
        <v>919.52</v>
      </c>
    </row>
    <row r="25" spans="1:15" x14ac:dyDescent="0.3">
      <c r="A25" s="2">
        <v>2023</v>
      </c>
      <c r="B25">
        <v>162</v>
      </c>
      <c r="C25" t="s">
        <v>14</v>
      </c>
      <c r="D25" s="12">
        <f>ROUND(1.2*3,0)</f>
        <v>4</v>
      </c>
      <c r="E25" s="3">
        <f>1.2*517.4</f>
        <v>620.88</v>
      </c>
    </row>
    <row r="26" spans="1:15" x14ac:dyDescent="0.3">
      <c r="A26" s="2">
        <v>2020</v>
      </c>
      <c r="B26">
        <v>171</v>
      </c>
      <c r="C26" t="s">
        <v>15</v>
      </c>
      <c r="D26">
        <v>16</v>
      </c>
      <c r="E26" s="3">
        <v>2548.92</v>
      </c>
    </row>
    <row r="27" spans="1:15" x14ac:dyDescent="0.3">
      <c r="A27" s="2">
        <v>2021</v>
      </c>
      <c r="B27">
        <v>171</v>
      </c>
      <c r="C27" t="s">
        <v>15</v>
      </c>
      <c r="D27">
        <v>8</v>
      </c>
      <c r="E27" s="3">
        <v>891.72</v>
      </c>
      <c r="G27" s="22" t="s">
        <v>20</v>
      </c>
      <c r="H27" s="22" t="s">
        <v>17</v>
      </c>
    </row>
    <row r="28" spans="1:15" x14ac:dyDescent="0.3">
      <c r="A28" s="2">
        <v>2022</v>
      </c>
      <c r="B28">
        <v>171</v>
      </c>
      <c r="C28" t="s">
        <v>15</v>
      </c>
      <c r="D28">
        <v>24</v>
      </c>
      <c r="E28" s="3">
        <v>1838.03</v>
      </c>
      <c r="G28" s="22" t="s">
        <v>18</v>
      </c>
      <c r="H28" t="s">
        <v>10</v>
      </c>
      <c r="I28" t="s">
        <v>5</v>
      </c>
      <c r="J28" t="s">
        <v>15</v>
      </c>
      <c r="K28" t="s">
        <v>8</v>
      </c>
      <c r="L28" t="s">
        <v>7</v>
      </c>
      <c r="M28" t="s">
        <v>19</v>
      </c>
    </row>
    <row r="29" spans="1:15" x14ac:dyDescent="0.3">
      <c r="A29" s="2">
        <v>2023</v>
      </c>
      <c r="B29">
        <v>171</v>
      </c>
      <c r="C29" t="s">
        <v>15</v>
      </c>
      <c r="D29">
        <f>ROUND(1.2*0, 0)</f>
        <v>0</v>
      </c>
      <c r="E29" s="3">
        <v>0</v>
      </c>
      <c r="G29" s="17">
        <v>2020</v>
      </c>
      <c r="H29" s="23">
        <v>37</v>
      </c>
      <c r="I29" s="23">
        <v>21</v>
      </c>
      <c r="J29" s="23">
        <v>16</v>
      </c>
      <c r="K29" s="23">
        <v>34</v>
      </c>
      <c r="L29" s="23">
        <v>0</v>
      </c>
      <c r="M29" s="23">
        <v>108</v>
      </c>
    </row>
    <row r="30" spans="1:15" x14ac:dyDescent="0.3">
      <c r="A30" s="2">
        <v>2020</v>
      </c>
      <c r="B30">
        <v>174</v>
      </c>
      <c r="C30" t="s">
        <v>7</v>
      </c>
      <c r="D30">
        <v>0</v>
      </c>
      <c r="E30" s="3">
        <v>0</v>
      </c>
      <c r="G30" s="17">
        <v>2021</v>
      </c>
      <c r="H30" s="23">
        <v>6</v>
      </c>
      <c r="I30" s="23">
        <v>26</v>
      </c>
      <c r="J30" s="23">
        <v>8</v>
      </c>
      <c r="K30" s="23">
        <v>21</v>
      </c>
      <c r="L30" s="23">
        <v>16</v>
      </c>
      <c r="M30" s="23">
        <v>77</v>
      </c>
    </row>
    <row r="31" spans="1:15" x14ac:dyDescent="0.3">
      <c r="A31" s="2">
        <v>2021</v>
      </c>
      <c r="B31">
        <v>174</v>
      </c>
      <c r="C31" t="s">
        <v>7</v>
      </c>
      <c r="D31">
        <v>16</v>
      </c>
      <c r="E31" s="3">
        <v>1334.95</v>
      </c>
      <c r="G31" s="17">
        <v>2022</v>
      </c>
      <c r="H31" s="23">
        <v>6</v>
      </c>
      <c r="I31" s="23">
        <v>8</v>
      </c>
      <c r="J31" s="23">
        <v>24</v>
      </c>
      <c r="K31" s="23">
        <v>2</v>
      </c>
      <c r="L31" s="23">
        <v>23</v>
      </c>
      <c r="M31" s="23">
        <v>63</v>
      </c>
    </row>
    <row r="32" spans="1:15" x14ac:dyDescent="0.3">
      <c r="A32" s="2">
        <v>2022</v>
      </c>
      <c r="B32">
        <v>174</v>
      </c>
      <c r="C32" t="s">
        <v>7</v>
      </c>
      <c r="D32">
        <v>23</v>
      </c>
      <c r="E32" s="3">
        <v>1069.3499999999999</v>
      </c>
      <c r="G32" s="17">
        <v>2023</v>
      </c>
      <c r="H32" s="23">
        <v>5</v>
      </c>
      <c r="I32" s="23">
        <v>7</v>
      </c>
      <c r="J32" s="23">
        <v>0</v>
      </c>
      <c r="K32" s="23">
        <v>6</v>
      </c>
      <c r="L32" s="23">
        <v>0</v>
      </c>
      <c r="M32" s="23">
        <v>18</v>
      </c>
    </row>
    <row r="33" spans="1:13" x14ac:dyDescent="0.3">
      <c r="A33" s="2">
        <v>2023</v>
      </c>
      <c r="B33">
        <v>174</v>
      </c>
      <c r="C33" t="s">
        <v>7</v>
      </c>
      <c r="D33">
        <f>ROUND(1.2*0, 0)</f>
        <v>0</v>
      </c>
      <c r="E33" s="3">
        <v>0</v>
      </c>
      <c r="G33" s="17" t="s">
        <v>19</v>
      </c>
      <c r="H33" s="23">
        <v>54</v>
      </c>
      <c r="I33" s="23">
        <v>62</v>
      </c>
      <c r="J33" s="23">
        <v>48</v>
      </c>
      <c r="K33" s="23">
        <v>63</v>
      </c>
      <c r="L33" s="23">
        <v>39</v>
      </c>
      <c r="M33" s="23">
        <v>266</v>
      </c>
    </row>
    <row r="34" spans="1:13" x14ac:dyDescent="0.3">
      <c r="A34" s="2">
        <v>2020</v>
      </c>
      <c r="B34">
        <v>179</v>
      </c>
      <c r="C34" t="s">
        <v>8</v>
      </c>
      <c r="D34">
        <v>34</v>
      </c>
      <c r="E34" s="3">
        <v>2723.61</v>
      </c>
    </row>
    <row r="35" spans="1:13" x14ac:dyDescent="0.3">
      <c r="A35" s="2">
        <v>2021</v>
      </c>
      <c r="B35">
        <v>179</v>
      </c>
      <c r="C35" t="s">
        <v>8</v>
      </c>
      <c r="D35">
        <v>21</v>
      </c>
      <c r="E35" s="3">
        <v>2967.9</v>
      </c>
    </row>
    <row r="36" spans="1:13" x14ac:dyDescent="0.3">
      <c r="A36" s="2">
        <v>2022</v>
      </c>
      <c r="B36">
        <v>179</v>
      </c>
      <c r="C36" t="s">
        <v>8</v>
      </c>
      <c r="D36">
        <v>2</v>
      </c>
      <c r="E36" s="3">
        <v>301.27999999999997</v>
      </c>
    </row>
    <row r="37" spans="1:13" x14ac:dyDescent="0.3">
      <c r="A37" s="2">
        <v>2023</v>
      </c>
      <c r="B37">
        <v>179</v>
      </c>
      <c r="C37" t="s">
        <v>8</v>
      </c>
      <c r="D37">
        <f>ROUND(1.2*5, 0)</f>
        <v>6</v>
      </c>
      <c r="E37" s="3">
        <f>1.2*139.95</f>
        <v>167.93999999999997</v>
      </c>
    </row>
    <row r="38" spans="1:13" x14ac:dyDescent="0.3">
      <c r="A38" s="2">
        <v>2020</v>
      </c>
      <c r="B38">
        <v>197</v>
      </c>
      <c r="C38" t="s">
        <v>10</v>
      </c>
      <c r="D38">
        <v>37</v>
      </c>
      <c r="E38" s="3">
        <v>4533.8500000000004</v>
      </c>
    </row>
    <row r="39" spans="1:13" x14ac:dyDescent="0.3">
      <c r="A39" s="2">
        <v>2021</v>
      </c>
      <c r="B39">
        <v>197</v>
      </c>
      <c r="C39" t="s">
        <v>10</v>
      </c>
      <c r="D39">
        <v>6</v>
      </c>
      <c r="E39" s="3">
        <v>871.2</v>
      </c>
    </row>
    <row r="40" spans="1:13" x14ac:dyDescent="0.3">
      <c r="A40" s="2">
        <v>2022</v>
      </c>
      <c r="B40">
        <v>197</v>
      </c>
      <c r="C40" t="s">
        <v>10</v>
      </c>
      <c r="D40">
        <v>6</v>
      </c>
      <c r="E40" s="3">
        <v>666.36</v>
      </c>
    </row>
    <row r="41" spans="1:13" x14ac:dyDescent="0.3">
      <c r="A41" s="2">
        <v>2023</v>
      </c>
      <c r="B41">
        <v>197</v>
      </c>
      <c r="C41" t="s">
        <v>10</v>
      </c>
      <c r="D41" s="12">
        <f>ROUND(1.2*4, 0)</f>
        <v>5</v>
      </c>
      <c r="E41" s="3">
        <f>1.2*67.88</f>
        <v>81.455999999999989</v>
      </c>
    </row>
  </sheetData>
  <pageMargins left="0.7" right="0.7" top="0.75" bottom="0.75" header="0.3" footer="0.3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4E55AA-9C36-47DE-AAC5-FE7E52026D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worstproducts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Rianna Sundlie</dc:creator>
  <cp:lastModifiedBy>Rianna Sundlie</cp:lastModifiedBy>
  <dcterms:created xsi:type="dcterms:W3CDTF">2026-06-21T02:55:23Z</dcterms:created>
  <dcterms:modified xsi:type="dcterms:W3CDTF">2026-06-21T19:13:34Z</dcterms:modified>
</cp:coreProperties>
</file>