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2e79b2f4e42b9bb/Desktop/acme-buisness-analysis/data/raw/"/>
    </mc:Choice>
  </mc:AlternateContent>
  <xr:revisionPtr revIDLastSave="3" documentId="8_{9F5C571B-54C7-466A-81A1-0FBF77D40C43}" xr6:coauthVersionLast="47" xr6:coauthVersionMax="47" xr10:uidLastSave="{7101BF11-8C56-4C29-B9CA-6963ABCD3094}"/>
  <bookViews>
    <workbookView xWindow="-110" yWindow="-110" windowWidth="21820" windowHeight="13900" xr2:uid="{E5A8011D-99C1-4F45-BDFA-758F2ED9AC7F}"/>
  </bookViews>
  <sheets>
    <sheet name="paymentmethods" sheetId="1" r:id="rId1"/>
  </sheets>
  <externalReferences>
    <externalReference r:id="rId2"/>
  </externalReferences>
  <definedNames>
    <definedName name="ExternalData_1" localSheetId="0" hidden="1">paymentmethods!$A$1:$C$21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" i="1" l="1"/>
  <c r="C17" i="1"/>
  <c r="C13" i="1"/>
  <c r="C9" i="1"/>
  <c r="C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0B409E-A73A-4BC6-9341-496593A37914}" keepAlive="1" name="Query - paymentmethods" description="Connection to the 'paymentmethods' query in the workbook." type="5" refreshedVersion="8" background="1" saveData="1">
    <dbPr connection="Provider=Microsoft.Mashup.OleDb.1;Data Source=$Workbook$;Location=paymentmethods;Extended Properties=&quot;&quot;" command="SELECT * FROM [paymentmethods]"/>
  </connection>
</connections>
</file>

<file path=xl/sharedStrings.xml><?xml version="1.0" encoding="utf-8"?>
<sst xmlns="http://schemas.openxmlformats.org/spreadsheetml/2006/main" count="23" uniqueCount="8">
  <si>
    <t>year</t>
  </si>
  <si>
    <t>paymentType</t>
  </si>
  <si>
    <t>totalPaymentAmount</t>
  </si>
  <si>
    <t>AMEX</t>
  </si>
  <si>
    <t>ApplePay</t>
  </si>
  <si>
    <t>MC</t>
  </si>
  <si>
    <t>PayPal</t>
  </si>
  <si>
    <t>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</si>
</sst>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osc304_lab10.xlsx" TargetMode="External"/><Relationship Id="rId2" Type="http://schemas.openxmlformats.org/officeDocument/2006/relationships/externalLinkPath" Target="https://d.docs.live.net/f2e79b2f4e42b9bb/Desktop/acme-buisness-analysis/cosc304_lab10.xlsx" TargetMode="External"/><Relationship Id="rId1" Type="http://schemas.openxmlformats.org/officeDocument/2006/relationships/externalLinkPath" Target="/f2e79b2f4e42b9bb/Desktop/acme-buisness-analysis/cosc304_lab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ustomersbyregion"/>
      <sheetName val="customersbyregion (2)"/>
      <sheetName val="worstproducts"/>
      <sheetName val="worstproducts (2)"/>
      <sheetName val="bestproducts"/>
      <sheetName val="paymentmethods"/>
      <sheetName val="inventorymanagement"/>
    </sheetNames>
    <sheetDataSet>
      <sheetData sheetId="0"/>
      <sheetData sheetId="1"/>
      <sheetData sheetId="2"/>
      <sheetData sheetId="3"/>
      <sheetData sheetId="4"/>
      <sheetData sheetId="5">
        <row r="2">
          <cell r="A2">
            <v>2020</v>
          </cell>
          <cell r="C2">
            <v>31748.9</v>
          </cell>
        </row>
        <row r="3">
          <cell r="A3">
            <v>2021</v>
          </cell>
          <cell r="C3">
            <v>36261</v>
          </cell>
        </row>
        <row r="4">
          <cell r="A4">
            <v>2022</v>
          </cell>
          <cell r="C4">
            <v>35080.32</v>
          </cell>
        </row>
        <row r="5">
          <cell r="A5">
            <v>2023</v>
          </cell>
          <cell r="C5">
            <v>18550.2</v>
          </cell>
        </row>
        <row r="6">
          <cell r="C6">
            <v>16474.36</v>
          </cell>
        </row>
        <row r="7">
          <cell r="C7">
            <v>16706.419999999998</v>
          </cell>
        </row>
        <row r="8">
          <cell r="C8">
            <v>41460.5</v>
          </cell>
        </row>
        <row r="9">
          <cell r="C9">
            <v>18791.268</v>
          </cell>
        </row>
        <row r="10">
          <cell r="C10">
            <v>206010.13</v>
          </cell>
        </row>
        <row r="11">
          <cell r="C11">
            <v>213836.72</v>
          </cell>
        </row>
        <row r="12">
          <cell r="C12">
            <v>211686.66</v>
          </cell>
        </row>
        <row r="13">
          <cell r="C13">
            <v>205731.62399999998</v>
          </cell>
        </row>
        <row r="14">
          <cell r="C14">
            <v>37408.81</v>
          </cell>
        </row>
        <row r="15">
          <cell r="C15">
            <v>78742.100000000006</v>
          </cell>
        </row>
        <row r="16">
          <cell r="C16">
            <v>51534.7</v>
          </cell>
        </row>
        <row r="17">
          <cell r="C17">
            <v>54054.731999999996</v>
          </cell>
        </row>
        <row r="18">
          <cell r="C18">
            <v>307440.61</v>
          </cell>
        </row>
        <row r="19">
          <cell r="C19">
            <v>339138.66</v>
          </cell>
        </row>
        <row r="20">
          <cell r="C20">
            <v>315487.59000000003</v>
          </cell>
        </row>
        <row r="21">
          <cell r="C21">
            <v>324617.136</v>
          </cell>
        </row>
        <row r="24">
          <cell r="B24" t="str">
            <v>AMEX</v>
          </cell>
          <cell r="C24">
            <v>20215.910000000149</v>
          </cell>
        </row>
        <row r="25">
          <cell r="B25" t="str">
            <v>ApplePay</v>
          </cell>
          <cell r="C25">
            <v>31284.338000000454</v>
          </cell>
        </row>
        <row r="26">
          <cell r="B26" t="str">
            <v>MC</v>
          </cell>
          <cell r="C26">
            <v>208569.88899999997</v>
          </cell>
        </row>
        <row r="27">
          <cell r="B27" t="str">
            <v>PayPal</v>
          </cell>
          <cell r="C27">
            <v>61117.677000000142</v>
          </cell>
        </row>
        <row r="28">
          <cell r="B28" t="str">
            <v>VISA</v>
          </cell>
          <cell r="C28">
            <v>328640.62600000016</v>
          </cell>
        </row>
      </sheetData>
      <sheetData sheetId="6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EA2FA1-F0A0-4F49-B814-AB541D01F13E}" autoFormatId="16" applyNumberFormats="0" applyBorderFormats="0" applyFontFormats="0" applyPatternFormats="0" applyAlignmentFormats="0" applyWidthHeightFormats="0">
  <queryTableRefresh nextId="7">
    <queryTableFields count="3">
      <queryTableField id="4" name="Column1" tableColumnId="1"/>
      <queryTableField id="2" name="paymentType" tableColumnId="2"/>
      <queryTableField id="5" name="totalPaymentAm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F0A4A0-7DEA-41EE-9C3E-78C4CEC276DE}" name="paymentmethods" displayName="paymentmethods" ref="A1:C21" tableType="queryTable" totalsRowShown="0">
  <autoFilter ref="A1:C21" xr:uid="{BCBC4A58-BA61-4E22-A894-35766D649854}"/>
  <sortState xmlns:xlrd2="http://schemas.microsoft.com/office/spreadsheetml/2017/richdata2" ref="A2:C21">
    <sortCondition ref="B1:B21"/>
  </sortState>
  <tableColumns count="3">
    <tableColumn id="1" xr3:uid="{4B33DBC3-295C-415E-B8E7-ADD45DCE6498}" uniqueName="1" name="year" queryTableFieldId="4"/>
    <tableColumn id="2" xr3:uid="{720C9D1E-7896-41C2-A8E0-9FE5593C6CC1}" uniqueName="2" name="paymentType" queryTableFieldId="2" dataDxfId="0"/>
    <tableColumn id="3" xr3:uid="{96147A5E-CD8C-404B-8D10-9B6418B1DD1C}" uniqueName="3" name="totalPaymentAmount" queryTableFieldId="5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32219-11E2-46D0-95F7-032378F23E56}">
  <dimension ref="A1:C21"/>
  <sheetViews>
    <sheetView tabSelected="1" workbookViewId="0">
      <selection activeCell="E25" sqref="E25"/>
    </sheetView>
  </sheetViews>
  <sheetFormatPr defaultRowHeight="14" x14ac:dyDescent="0.3"/>
  <cols>
    <col min="1" max="1" width="10.6640625" customWidth="1"/>
    <col min="2" max="2" width="14.9140625" customWidth="1"/>
    <col min="3" max="3" width="21.75" customWidth="1"/>
    <col min="4" max="4" width="14.5" customWidth="1"/>
    <col min="5" max="5" width="13.58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2020</v>
      </c>
      <c r="B2" t="s">
        <v>3</v>
      </c>
      <c r="C2" s="1">
        <v>31748.9</v>
      </c>
    </row>
    <row r="3" spans="1:3" x14ac:dyDescent="0.3">
      <c r="A3">
        <v>2021</v>
      </c>
      <c r="B3" t="s">
        <v>3</v>
      </c>
      <c r="C3" s="1">
        <v>36261</v>
      </c>
    </row>
    <row r="4" spans="1:3" x14ac:dyDescent="0.3">
      <c r="A4">
        <v>2022</v>
      </c>
      <c r="B4" t="s">
        <v>3</v>
      </c>
      <c r="C4" s="1">
        <v>35080.32</v>
      </c>
    </row>
    <row r="5" spans="1:3" x14ac:dyDescent="0.3">
      <c r="A5">
        <v>2023</v>
      </c>
      <c r="B5" t="s">
        <v>3</v>
      </c>
      <c r="C5" s="1">
        <f>1.2*15458.5</f>
        <v>18550.2</v>
      </c>
    </row>
    <row r="6" spans="1:3" x14ac:dyDescent="0.3">
      <c r="A6">
        <v>2020</v>
      </c>
      <c r="B6" t="s">
        <v>4</v>
      </c>
      <c r="C6" s="1">
        <v>16474.36</v>
      </c>
    </row>
    <row r="7" spans="1:3" x14ac:dyDescent="0.3">
      <c r="A7">
        <v>2021</v>
      </c>
      <c r="B7" t="s">
        <v>4</v>
      </c>
      <c r="C7" s="1">
        <v>16706.419999999998</v>
      </c>
    </row>
    <row r="8" spans="1:3" x14ac:dyDescent="0.3">
      <c r="A8">
        <v>2022</v>
      </c>
      <c r="B8" t="s">
        <v>4</v>
      </c>
      <c r="C8" s="1">
        <v>41460.5</v>
      </c>
    </row>
    <row r="9" spans="1:3" x14ac:dyDescent="0.3">
      <c r="A9">
        <v>2023</v>
      </c>
      <c r="B9" t="s">
        <v>4</v>
      </c>
      <c r="C9" s="1">
        <f>1.2*15659.39</f>
        <v>18791.268</v>
      </c>
    </row>
    <row r="10" spans="1:3" x14ac:dyDescent="0.3">
      <c r="A10">
        <v>2020</v>
      </c>
      <c r="B10" t="s">
        <v>5</v>
      </c>
      <c r="C10" s="1">
        <v>206010.13</v>
      </c>
    </row>
    <row r="11" spans="1:3" x14ac:dyDescent="0.3">
      <c r="A11">
        <v>2021</v>
      </c>
      <c r="B11" t="s">
        <v>5</v>
      </c>
      <c r="C11" s="1">
        <v>213836.72</v>
      </c>
    </row>
    <row r="12" spans="1:3" x14ac:dyDescent="0.3">
      <c r="A12">
        <v>2022</v>
      </c>
      <c r="B12" t="s">
        <v>5</v>
      </c>
      <c r="C12" s="1">
        <v>211686.66</v>
      </c>
    </row>
    <row r="13" spans="1:3" x14ac:dyDescent="0.3">
      <c r="A13">
        <v>2023</v>
      </c>
      <c r="B13" t="s">
        <v>5</v>
      </c>
      <c r="C13" s="1">
        <f>1.2*171443.02</f>
        <v>205731.62399999998</v>
      </c>
    </row>
    <row r="14" spans="1:3" x14ac:dyDescent="0.3">
      <c r="A14">
        <v>2020</v>
      </c>
      <c r="B14" t="s">
        <v>6</v>
      </c>
      <c r="C14" s="1">
        <v>37408.81</v>
      </c>
    </row>
    <row r="15" spans="1:3" x14ac:dyDescent="0.3">
      <c r="A15">
        <v>2021</v>
      </c>
      <c r="B15" t="s">
        <v>6</v>
      </c>
      <c r="C15" s="1">
        <v>78742.100000000006</v>
      </c>
    </row>
    <row r="16" spans="1:3" x14ac:dyDescent="0.3">
      <c r="A16">
        <v>2022</v>
      </c>
      <c r="B16" t="s">
        <v>6</v>
      </c>
      <c r="C16" s="1">
        <v>51534.7</v>
      </c>
    </row>
    <row r="17" spans="1:3" x14ac:dyDescent="0.3">
      <c r="A17">
        <v>2023</v>
      </c>
      <c r="B17" t="s">
        <v>6</v>
      </c>
      <c r="C17" s="1">
        <f>1.2*45045.61</f>
        <v>54054.731999999996</v>
      </c>
    </row>
    <row r="18" spans="1:3" x14ac:dyDescent="0.3">
      <c r="A18">
        <v>2020</v>
      </c>
      <c r="B18" t="s">
        <v>7</v>
      </c>
      <c r="C18" s="1">
        <v>307440.61</v>
      </c>
    </row>
    <row r="19" spans="1:3" x14ac:dyDescent="0.3">
      <c r="A19">
        <v>2021</v>
      </c>
      <c r="B19" t="s">
        <v>7</v>
      </c>
      <c r="C19" s="1">
        <v>339138.66</v>
      </c>
    </row>
    <row r="20" spans="1:3" x14ac:dyDescent="0.3">
      <c r="A20">
        <v>2022</v>
      </c>
      <c r="B20" t="s">
        <v>7</v>
      </c>
      <c r="C20" s="1">
        <v>315487.59000000003</v>
      </c>
    </row>
    <row r="21" spans="1:3" x14ac:dyDescent="0.3">
      <c r="A21">
        <v>2023</v>
      </c>
      <c r="B21" t="s">
        <v>7</v>
      </c>
      <c r="C21" s="1">
        <f>1.2*270514.28</f>
        <v>324617.136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913EBA-4A27-4C07-9688-C97902378A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Rianna Sundlie</dc:creator>
  <cp:lastModifiedBy>Rianna Sundlie</cp:lastModifiedBy>
  <dcterms:created xsi:type="dcterms:W3CDTF">2026-06-21T03:04:20Z</dcterms:created>
  <dcterms:modified xsi:type="dcterms:W3CDTF">2026-06-21T03:06:50Z</dcterms:modified>
</cp:coreProperties>
</file>