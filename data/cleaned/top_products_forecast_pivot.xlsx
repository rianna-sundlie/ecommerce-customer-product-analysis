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cleaned/"/>
    </mc:Choice>
  </mc:AlternateContent>
  <xr:revisionPtr revIDLastSave="321" documentId="8_{7FDCF659-AC0F-4F10-85F2-0CC1A90AE1E5}" xr6:coauthVersionLast="47" xr6:coauthVersionMax="47" xr10:uidLastSave="{B6D9349B-711C-4CD5-B4F4-9FC70A9617BC}"/>
  <bookViews>
    <workbookView xWindow="-110" yWindow="-110" windowWidth="21820" windowHeight="13900" xr2:uid="{387C7BE0-15D5-4BC6-ADD3-DA2F4933A73E}"/>
  </bookViews>
  <sheets>
    <sheet name="bestproducts" sheetId="1" r:id="rId1"/>
  </sheets>
  <definedNames>
    <definedName name="ExternalData_1" localSheetId="0" hidden="1">bestproducts!$A$1:$E$41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1" l="1"/>
  <c r="D41" i="1"/>
  <c r="E37" i="1"/>
  <c r="D37" i="1"/>
  <c r="E33" i="1"/>
  <c r="D33" i="1"/>
  <c r="E29" i="1"/>
  <c r="D29" i="1"/>
  <c r="E25" i="1"/>
  <c r="D25" i="1"/>
  <c r="E21" i="1"/>
  <c r="D21" i="1"/>
  <c r="E17" i="1"/>
  <c r="D17" i="1"/>
  <c r="E13" i="1"/>
  <c r="D13" i="1"/>
  <c r="E9" i="1"/>
  <c r="D9" i="1"/>
  <c r="L6" i="1"/>
  <c r="K6" i="1"/>
  <c r="L5" i="1"/>
  <c r="K5" i="1"/>
  <c r="E5" i="1"/>
  <c r="D5" i="1"/>
  <c r="L4" i="1"/>
  <c r="K4" i="1"/>
  <c r="L3" i="1"/>
  <c r="K3" i="1"/>
  <c r="L2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22F0F4-A716-41EF-BEDC-BA07781179E0}" keepAlive="1" name="Query - bestproducts" description="Connection to the 'bestproducts' query in the workbook." type="5" refreshedVersion="8" background="1" saveData="1">
    <dbPr connection="Provider=Microsoft.Mashup.OleDb.1;Data Source=$Workbook$;Location=bestproducts;Extended Properties=&quot;&quot;" command="SELECT * FROM [bestproducts]"/>
  </connection>
</connections>
</file>

<file path=xl/sharedStrings.xml><?xml version="1.0" encoding="utf-8"?>
<sst xmlns="http://schemas.openxmlformats.org/spreadsheetml/2006/main" count="75" uniqueCount="20">
  <si>
    <t>year</t>
  </si>
  <si>
    <t>productId</t>
  </si>
  <si>
    <t>productName</t>
  </si>
  <si>
    <t>quantitySold</t>
  </si>
  <si>
    <t>revenue</t>
  </si>
  <si>
    <t>Practical Aluminum Table</t>
  </si>
  <si>
    <t>Ergonomic Iron Lamp</t>
  </si>
  <si>
    <t>Aerodynamic Copper Bag</t>
  </si>
  <si>
    <t>Incredible Marble Coat</t>
  </si>
  <si>
    <t>Incredible Wool Plate</t>
  </si>
  <si>
    <t>Mediocre Aluminum Plate</t>
  </si>
  <si>
    <t>Enormous Rubber Shirt</t>
  </si>
  <si>
    <t>Durable Leather Shoes</t>
  </si>
  <si>
    <t>Practical Cotton Wallet</t>
  </si>
  <si>
    <t>Rustic Silk Clock</t>
  </si>
  <si>
    <t>Row Labels</t>
  </si>
  <si>
    <t>Grand Total</t>
  </si>
  <si>
    <t>Sum of revenue</t>
  </si>
  <si>
    <t>Column Labels</t>
  </si>
  <si>
    <t>Sum of quantitySold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</si>
</sst>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1009]* #,##0.00_-;\-[$$-1009]* #,##0.00_-;_-[$$-1009]* &quot;-&quot;??_-;_-@_-"/>
  </numFmts>
  <fonts count="3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/>
    <xf numFmtId="1" fontId="0" fillId="0" borderId="0" xfId="0" applyNumberFormat="1"/>
    <xf numFmtId="164" fontId="0" fillId="0" borderId="0" xfId="1" applyNumberFormat="1" applyFont="1"/>
    <xf numFmtId="0" fontId="0" fillId="3" borderId="2" xfId="0" applyFill="1" applyBorder="1"/>
    <xf numFmtId="1" fontId="0" fillId="3" borderId="2" xfId="0" applyNumberFormat="1" applyFill="1" applyBorder="1"/>
    <xf numFmtId="164" fontId="0" fillId="3" borderId="2" xfId="1" applyNumberFormat="1" applyFont="1" applyFill="1" applyBorder="1"/>
    <xf numFmtId="0" fontId="0" fillId="0" borderId="2" xfId="0" applyBorder="1"/>
    <xf numFmtId="1" fontId="0" fillId="0" borderId="2" xfId="0" applyNumberFormat="1" applyBorder="1"/>
    <xf numFmtId="44" fontId="0" fillId="0" borderId="0" xfId="1" applyFont="1"/>
    <xf numFmtId="0" fontId="0" fillId="4" borderId="2" xfId="0" applyFill="1" applyBorder="1"/>
    <xf numFmtId="1" fontId="0" fillId="4" borderId="2" xfId="0" applyNumberFormat="1" applyFill="1" applyBorder="1"/>
    <xf numFmtId="164" fontId="0" fillId="4" borderId="2" xfId="1" applyNumberFormat="1" applyFont="1" applyFill="1" applyBorder="1"/>
    <xf numFmtId="0" fontId="0" fillId="5" borderId="3" xfId="0" applyFill="1" applyBorder="1"/>
    <xf numFmtId="1" fontId="0" fillId="5" borderId="3" xfId="0" applyNumberFormat="1" applyFill="1" applyBorder="1"/>
    <xf numFmtId="164" fontId="0" fillId="5" borderId="3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4" formatCode="_-[$$-1009]* #,##0.00_-;\-[$$-1009]* #,##0.00_-;_-[$$-1009]* &quot;-&quot;??_-;_-@_-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" formatCode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theme="9"/>
          <bgColor theme="9"/>
        </patternFill>
      </fill>
    </dxf>
    <dxf>
      <numFmt numFmtId="164" formatCode="_-[$$-1009]* #,##0.00_-;\-[$$-1009]* #,##0.00_-;_-[$$-1009]* &quot;-&quot;??_-;_-@_-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nna Sundlie" refreshedDate="46194.684839467591" createdVersion="8" refreshedVersion="8" minRefreshableVersion="3" recordCount="40" xr:uid="{80500691-9815-4FFF-AD0F-5CA197CE40B4}">
  <cacheSource type="worksheet">
    <worksheetSource name="bestproducts"/>
  </cacheSource>
  <cacheFields count="5">
    <cacheField name="year" numFmtId="0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productId" numFmtId="0">
      <sharedItems containsSemiMixedTypes="0" containsString="0" containsNumber="1" containsInteger="1" minValue="26" maxValue="193"/>
    </cacheField>
    <cacheField name="productName" numFmtId="0">
      <sharedItems count="10">
        <s v="Practical Aluminum Table"/>
        <s v="Ergonomic Iron Lamp"/>
        <s v="Enormous Rubber Shirt"/>
        <s v="Aerodynamic Copper Bag"/>
        <s v="Durable Leather Shoes"/>
        <s v="Incredible Marble Coat"/>
        <s v="Incredible Wool Plate"/>
        <s v="Practical Cotton Wallet"/>
        <s v="Mediocre Aluminum Plate"/>
        <s v="Rustic Silk Clock"/>
      </sharedItems>
    </cacheField>
    <cacheField name="quantitySold" numFmtId="1">
      <sharedItems containsSemiMixedTypes="0" containsString="0" containsNumber="1" minValue="9" maxValue="102"/>
    </cacheField>
    <cacheField name="revenue" numFmtId="164">
      <sharedItems containsSemiMixedTypes="0" containsString="0" containsNumber="1" minValue="82.88" maxValue="14666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26"/>
    <x v="0"/>
    <n v="55"/>
    <n v="7588.24"/>
  </r>
  <r>
    <x v="1"/>
    <n v="26"/>
    <x v="0"/>
    <n v="53"/>
    <n v="3893.3"/>
  </r>
  <r>
    <x v="2"/>
    <n v="26"/>
    <x v="0"/>
    <n v="69"/>
    <n v="6167.55"/>
  </r>
  <r>
    <x v="3"/>
    <n v="26"/>
    <x v="0"/>
    <n v="33.6"/>
    <n v="2724.72"/>
  </r>
  <r>
    <x v="0"/>
    <n v="72"/>
    <x v="1"/>
    <n v="49"/>
    <n v="4615.21"/>
  </r>
  <r>
    <x v="1"/>
    <n v="72"/>
    <x v="1"/>
    <n v="68"/>
    <n v="8821.07"/>
  </r>
  <r>
    <x v="2"/>
    <n v="72"/>
    <x v="1"/>
    <n v="70"/>
    <n v="7078.6"/>
  </r>
  <r>
    <x v="3"/>
    <n v="72"/>
    <x v="1"/>
    <n v="61.199999999999996"/>
    <n v="6437.7240000000002"/>
  </r>
  <r>
    <x v="0"/>
    <n v="75"/>
    <x v="2"/>
    <n v="55"/>
    <n v="4381.71"/>
  </r>
  <r>
    <x v="1"/>
    <n v="75"/>
    <x v="2"/>
    <n v="100"/>
    <n v="5667.03"/>
  </r>
  <r>
    <x v="2"/>
    <n v="75"/>
    <x v="2"/>
    <n v="34"/>
    <n v="3376.78"/>
  </r>
  <r>
    <x v="3"/>
    <n v="75"/>
    <x v="2"/>
    <n v="40.799999999999997"/>
    <n v="5452.3440000000001"/>
  </r>
  <r>
    <x v="0"/>
    <n v="81"/>
    <x v="3"/>
    <n v="9"/>
    <n v="805.08"/>
  </r>
  <r>
    <x v="1"/>
    <n v="81"/>
    <x v="3"/>
    <n v="74"/>
    <n v="9549.2800000000007"/>
  </r>
  <r>
    <x v="2"/>
    <n v="81"/>
    <x v="3"/>
    <n v="95"/>
    <n v="14666.08"/>
  </r>
  <r>
    <x v="3"/>
    <n v="81"/>
    <x v="3"/>
    <n v="42"/>
    <n v="4090.56"/>
  </r>
  <r>
    <x v="0"/>
    <n v="118"/>
    <x v="4"/>
    <n v="41"/>
    <n v="2116.6"/>
  </r>
  <r>
    <x v="1"/>
    <n v="118"/>
    <x v="4"/>
    <n v="70"/>
    <n v="5308.08"/>
  </r>
  <r>
    <x v="2"/>
    <n v="118"/>
    <x v="4"/>
    <n v="53"/>
    <n v="8067.96"/>
  </r>
  <r>
    <x v="3"/>
    <n v="118"/>
    <x v="4"/>
    <n v="50.4"/>
    <n v="4280.76"/>
  </r>
  <r>
    <x v="0"/>
    <n v="120"/>
    <x v="5"/>
    <n v="29"/>
    <n v="1191.9000000000001"/>
  </r>
  <r>
    <x v="1"/>
    <n v="120"/>
    <x v="5"/>
    <n v="52"/>
    <n v="5650.53"/>
  </r>
  <r>
    <x v="2"/>
    <n v="120"/>
    <x v="5"/>
    <n v="74"/>
    <n v="7318.77"/>
  </r>
  <r>
    <x v="3"/>
    <n v="120"/>
    <x v="5"/>
    <n v="62.4"/>
    <n v="3975.4199999999996"/>
  </r>
  <r>
    <x v="0"/>
    <n v="150"/>
    <x v="6"/>
    <n v="19"/>
    <n v="1472.96"/>
  </r>
  <r>
    <x v="1"/>
    <n v="150"/>
    <x v="6"/>
    <n v="41"/>
    <n v="5782.8"/>
  </r>
  <r>
    <x v="2"/>
    <n v="150"/>
    <x v="6"/>
    <n v="86"/>
    <n v="7822.84"/>
  </r>
  <r>
    <x v="3"/>
    <n v="150"/>
    <x v="6"/>
    <n v="78"/>
    <n v="9112.4279999999999"/>
  </r>
  <r>
    <x v="0"/>
    <n v="160"/>
    <x v="7"/>
    <n v="102"/>
    <n v="11492.33"/>
  </r>
  <r>
    <x v="1"/>
    <n v="160"/>
    <x v="7"/>
    <n v="15"/>
    <n v="82.88"/>
  </r>
  <r>
    <x v="2"/>
    <n v="160"/>
    <x v="7"/>
    <n v="50"/>
    <n v="5301.32"/>
  </r>
  <r>
    <x v="3"/>
    <n v="160"/>
    <x v="7"/>
    <n v="66"/>
    <n v="6506.0640000000003"/>
  </r>
  <r>
    <x v="0"/>
    <n v="165"/>
    <x v="8"/>
    <n v="48"/>
    <n v="2813.62"/>
  </r>
  <r>
    <x v="1"/>
    <n v="165"/>
    <x v="8"/>
    <n v="34"/>
    <n v="975.22"/>
  </r>
  <r>
    <x v="2"/>
    <n v="165"/>
    <x v="8"/>
    <n v="90"/>
    <n v="7094.3"/>
  </r>
  <r>
    <x v="3"/>
    <n v="165"/>
    <x v="8"/>
    <n v="80.399999999999991"/>
    <n v="9293.0879999999997"/>
  </r>
  <r>
    <x v="0"/>
    <n v="193"/>
    <x v="9"/>
    <n v="40"/>
    <n v="3052.8"/>
  </r>
  <r>
    <x v="1"/>
    <n v="193"/>
    <x v="9"/>
    <n v="74"/>
    <n v="6087.76"/>
  </r>
  <r>
    <x v="2"/>
    <n v="193"/>
    <x v="9"/>
    <n v="34"/>
    <n v="1766.61"/>
  </r>
  <r>
    <x v="3"/>
    <n v="193"/>
    <x v="9"/>
    <n v="72"/>
    <n v="8936.21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3B720-7386-4DB0-B7DC-C196872578C8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H17:N23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1">
        <item x="3"/>
        <item h="1" x="4"/>
        <item h="1" x="2"/>
        <item x="1"/>
        <item x="5"/>
        <item x="6"/>
        <item x="8"/>
        <item h="1" x="0"/>
        <item h="1" x="7"/>
        <item h="1" x="9"/>
        <item t="default"/>
      </items>
    </pivotField>
    <pivotField dataField="1" numFmtId="1" showAll="0"/>
    <pivotField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3"/>
    </i>
    <i>
      <x v="4"/>
    </i>
    <i>
      <x v="5"/>
    </i>
    <i>
      <x v="6"/>
    </i>
    <i t="grand">
      <x/>
    </i>
  </colItems>
  <dataFields count="1">
    <dataField name="Sum of quantitySold" fld="3" baseField="0" baseItem="0" numFmtId="1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FAD83-3414-448B-92F8-FA6B10C453A4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H8:N14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1">
        <item x="3"/>
        <item h="1" x="4"/>
        <item h="1" x="2"/>
        <item x="1"/>
        <item x="5"/>
        <item x="6"/>
        <item x="8"/>
        <item h="1" x="0"/>
        <item h="1" x="7"/>
        <item h="1" x="9"/>
        <item t="default"/>
      </items>
    </pivotField>
    <pivotField numFmtId="1" showAll="0"/>
    <pivotField dataField="1" numFmtId="16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3"/>
    </i>
    <i>
      <x v="4"/>
    </i>
    <i>
      <x v="5"/>
    </i>
    <i>
      <x v="6"/>
    </i>
    <i t="grand">
      <x/>
    </i>
  </colItems>
  <dataFields count="1">
    <dataField name="Sum of revenue" fld="4" baseField="0" baseItem="0" numFmtId="164"/>
  </dataFields>
  <chartFormats count="1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449E00-B56B-4619-8957-F4C1DF3CDEDF}" autoFormatId="16" applyNumberFormats="0" applyBorderFormats="0" applyFontFormats="0" applyPatternFormats="0" applyAlignmentFormats="0" applyWidthHeightFormats="0">
  <queryTableRefresh nextId="7">
    <queryTableFields count="5">
      <queryTableField id="5" name="year" tableColumnId="5"/>
      <queryTableField id="1" name="productId" tableColumnId="1"/>
      <queryTableField id="2" name="productName" tableColumnId="2"/>
      <queryTableField id="3" name="quantitySold" tableColumnId="3"/>
      <queryTableField id="4" name="reven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D95E3-F05E-4C10-B2FA-AF958448197D}" name="bestproducts" displayName="bestproducts" ref="A1:E41" tableType="queryTable" totalsRowShown="0">
  <autoFilter ref="A1:E41" xr:uid="{67EBA4BE-28A8-4E6E-AA20-06A9A844879C}"/>
  <tableColumns count="5">
    <tableColumn id="5" xr3:uid="{904F451F-09CE-4E1C-AFC9-714FB3C9BC0C}" uniqueName="5" name="year" queryTableFieldId="5"/>
    <tableColumn id="1" xr3:uid="{43DEFF5C-474E-4A81-912D-1463C461F886}" uniqueName="1" name="productId" queryTableFieldId="1"/>
    <tableColumn id="2" xr3:uid="{3C06F397-E469-4C38-AAD1-3C8257C70A0F}" uniqueName="2" name="productName" queryTableFieldId="2" dataDxfId="12"/>
    <tableColumn id="3" xr3:uid="{B7A328CD-B796-4ED3-8CFC-46285DB9BBBF}" uniqueName="3" name="quantitySold" queryTableFieldId="3" dataDxfId="11"/>
    <tableColumn id="4" xr3:uid="{1B956EC7-5C7E-410A-8FEF-4E506AD1CC3D}" uniqueName="4" name="revenue" queryTableFieldId="4" dataDxfId="10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43BDE6-4EF9-421B-8604-C64E419AB7B9}" name="Table12" displayName="Table12" ref="H1:L6" totalsRowShown="0" headerRowDxfId="9" dataDxfId="7" headerRowBorderDxfId="8" tableBorderDxfId="6" totalsRowBorderDxfId="5">
  <autoFilter ref="H1:L6" xr:uid="{FCF27E41-CF9A-4C4D-9B41-5A9D04414087}"/>
  <tableColumns count="5">
    <tableColumn id="1" xr3:uid="{39681FD2-7FDE-471A-8928-66B3FEBAF682}" name="year" dataDxfId="4"/>
    <tableColumn id="2" xr3:uid="{70658111-29E6-4611-8BE9-DF27CFB98064}" name="productId" dataDxfId="3"/>
    <tableColumn id="3" xr3:uid="{63F5C475-4F05-40AE-B250-EE9E376252C2}" name="productName" dataDxfId="2"/>
    <tableColumn id="4" xr3:uid="{DC6DB0FF-098E-4B0B-AA41-72DDA5F2F5A8}" name="quantitySold" dataDxfId="1"/>
    <tableColumn id="5" xr3:uid="{6F6D67F7-89BD-44C7-A235-F10620EF02A1}" name="revenue" dataDxfId="0" dataCellStyle="Currenc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FF4E-4CD4-45E6-AA1D-C344F3C8CCE7}">
  <dimension ref="A1:N41"/>
  <sheetViews>
    <sheetView tabSelected="1" topLeftCell="D1" workbookViewId="0">
      <selection activeCell="N8" sqref="N8"/>
    </sheetView>
  </sheetViews>
  <sheetFormatPr defaultRowHeight="14" x14ac:dyDescent="0.3"/>
  <cols>
    <col min="1" max="1" width="6.83203125" customWidth="1"/>
    <col min="2" max="2" width="11.4140625" customWidth="1"/>
    <col min="3" max="3" width="23.4140625" customWidth="1"/>
    <col min="4" max="4" width="13.9140625" customWidth="1"/>
    <col min="5" max="5" width="11" customWidth="1"/>
    <col min="8" max="8" width="16.5" bestFit="1" customWidth="1"/>
    <col min="9" max="9" width="21" bestFit="1" customWidth="1"/>
    <col min="10" max="10" width="17.33203125" bestFit="1" customWidth="1"/>
    <col min="11" max="11" width="18.58203125" bestFit="1" customWidth="1"/>
    <col min="12" max="12" width="17.4140625" bestFit="1" customWidth="1"/>
    <col min="13" max="13" width="21.08203125" bestFit="1" customWidth="1"/>
    <col min="14" max="14" width="14.75" customWidth="1"/>
    <col min="15" max="15" width="21.08203125" bestFit="1" customWidth="1"/>
    <col min="16" max="16" width="21" bestFit="1" customWidth="1"/>
    <col min="17" max="17" width="18.4140625" bestFit="1" customWidth="1"/>
    <col min="18" max="18" width="13.4140625" bestFit="1" customWidth="1"/>
    <col min="19" max="19" width="10" bestFit="1" customWidth="1"/>
    <col min="20" max="27" width="21.08203125" bestFit="1" customWidth="1"/>
    <col min="28" max="28" width="14.58203125" bestFit="1" customWidth="1"/>
    <col min="29" max="29" width="17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 spans="1:14" x14ac:dyDescent="0.3">
      <c r="A2">
        <v>2020</v>
      </c>
      <c r="B2">
        <v>26</v>
      </c>
      <c r="C2" t="s">
        <v>5</v>
      </c>
      <c r="D2" s="2">
        <v>55</v>
      </c>
      <c r="E2" s="3">
        <v>7588.24</v>
      </c>
      <c r="H2" s="4">
        <v>2024</v>
      </c>
      <c r="I2" s="4">
        <v>72</v>
      </c>
      <c r="J2" s="4" t="s">
        <v>6</v>
      </c>
      <c r="K2" s="5">
        <f>_xlfn.FORECAST.LINEAR(2024, D6:D9, A2:A5)</f>
        <v>71.699999999999818</v>
      </c>
      <c r="L2" s="6">
        <f>_xlfn.FORECAST.LINEAR(2024, E6:E9, A2:A5)</f>
        <v>7669.418999999878</v>
      </c>
    </row>
    <row r="3" spans="1:14" x14ac:dyDescent="0.3">
      <c r="A3">
        <v>2021</v>
      </c>
      <c r="B3">
        <v>26</v>
      </c>
      <c r="C3" t="s">
        <v>5</v>
      </c>
      <c r="D3" s="2">
        <v>53</v>
      </c>
      <c r="E3" s="3">
        <v>3893.3</v>
      </c>
      <c r="H3" s="7">
        <v>2024</v>
      </c>
      <c r="I3" s="7">
        <v>81</v>
      </c>
      <c r="J3" s="7" t="s">
        <v>7</v>
      </c>
      <c r="K3" s="8">
        <f>_xlfn.FORECAST.LINEAR(2024, D14:D17, A2:A5)</f>
        <v>85</v>
      </c>
      <c r="L3" s="9">
        <f>_xlfn.FORECAST.LINEAR(2024, E14:E17, A2:A5)</f>
        <v>11021.060000000056</v>
      </c>
    </row>
    <row r="4" spans="1:14" x14ac:dyDescent="0.3">
      <c r="A4">
        <v>2022</v>
      </c>
      <c r="B4">
        <v>26</v>
      </c>
      <c r="C4" t="s">
        <v>5</v>
      </c>
      <c r="D4" s="2">
        <v>69</v>
      </c>
      <c r="E4" s="3">
        <v>6167.55</v>
      </c>
      <c r="H4" s="4">
        <v>2024</v>
      </c>
      <c r="I4" s="4">
        <v>120</v>
      </c>
      <c r="J4" s="4" t="s">
        <v>8</v>
      </c>
      <c r="K4" s="5">
        <f>_xlfn.FORECAST.LINEAR(2024,D22:D25, A2:A5)</f>
        <v>84.900000000001455</v>
      </c>
      <c r="L4" s="6">
        <f>_xlfn.FORECAST.LINEAR(2024,E22:E25, A2:A5)</f>
        <v>7038.8549999999814</v>
      </c>
    </row>
    <row r="5" spans="1:14" x14ac:dyDescent="0.3">
      <c r="A5">
        <v>2023</v>
      </c>
      <c r="B5">
        <v>26</v>
      </c>
      <c r="C5" t="s">
        <v>5</v>
      </c>
      <c r="D5" s="2">
        <f>1.2*28</f>
        <v>33.6</v>
      </c>
      <c r="E5" s="3">
        <f>1.2*2270.6</f>
        <v>2724.72</v>
      </c>
      <c r="H5" s="10">
        <v>2024</v>
      </c>
      <c r="I5" s="10">
        <v>150</v>
      </c>
      <c r="J5" s="10" t="s">
        <v>9</v>
      </c>
      <c r="K5" s="11">
        <f>_xlfn.FORECAST.LINEAR(2024,D26:D29, A2:A5)</f>
        <v>111.5</v>
      </c>
      <c r="L5" s="12">
        <f>_xlfn.FORECAST.LINEAR(2024,E26:E29, A2:A5)</f>
        <v>12287.368000000715</v>
      </c>
    </row>
    <row r="6" spans="1:14" x14ac:dyDescent="0.3">
      <c r="A6">
        <v>2020</v>
      </c>
      <c r="B6">
        <v>72</v>
      </c>
      <c r="C6" t="s">
        <v>6</v>
      </c>
      <c r="D6" s="2">
        <v>49</v>
      </c>
      <c r="E6" s="3">
        <v>4615.21</v>
      </c>
      <c r="H6" s="13">
        <v>2024</v>
      </c>
      <c r="I6" s="13">
        <v>165</v>
      </c>
      <c r="J6" s="13" t="s">
        <v>10</v>
      </c>
      <c r="K6" s="14">
        <f>_xlfn.FORECAST.LINEAR(2024,D34:D37, A2:A5)</f>
        <v>101.39999999999782</v>
      </c>
      <c r="L6" s="15">
        <f>_xlfn.FORECAST.LINEAR(2024,E34:E37, A2:A5)</f>
        <v>11433.428000000305</v>
      </c>
    </row>
    <row r="7" spans="1:14" x14ac:dyDescent="0.3">
      <c r="A7">
        <v>2021</v>
      </c>
      <c r="B7">
        <v>72</v>
      </c>
      <c r="C7" t="s">
        <v>6</v>
      </c>
      <c r="D7" s="2">
        <v>68</v>
      </c>
      <c r="E7" s="3">
        <v>8821.07</v>
      </c>
    </row>
    <row r="8" spans="1:14" x14ac:dyDescent="0.3">
      <c r="A8">
        <v>2022</v>
      </c>
      <c r="B8">
        <v>72</v>
      </c>
      <c r="C8" t="s">
        <v>6</v>
      </c>
      <c r="D8" s="2">
        <v>70</v>
      </c>
      <c r="E8" s="3">
        <v>7078.6</v>
      </c>
      <c r="H8" s="16" t="s">
        <v>17</v>
      </c>
      <c r="I8" s="16" t="s">
        <v>18</v>
      </c>
    </row>
    <row r="9" spans="1:14" x14ac:dyDescent="0.3">
      <c r="A9">
        <v>2023</v>
      </c>
      <c r="B9">
        <v>72</v>
      </c>
      <c r="C9" t="s">
        <v>6</v>
      </c>
      <c r="D9" s="2">
        <f>1.2*51</f>
        <v>61.199999999999996</v>
      </c>
      <c r="E9" s="3">
        <f>1.2*5364.77</f>
        <v>6437.7240000000002</v>
      </c>
      <c r="H9" s="16" t="s">
        <v>15</v>
      </c>
      <c r="I9" t="s">
        <v>7</v>
      </c>
      <c r="J9" t="s">
        <v>6</v>
      </c>
      <c r="K9" t="s">
        <v>8</v>
      </c>
      <c r="L9" t="s">
        <v>9</v>
      </c>
      <c r="M9" t="s">
        <v>10</v>
      </c>
      <c r="N9" t="s">
        <v>16</v>
      </c>
    </row>
    <row r="10" spans="1:14" x14ac:dyDescent="0.3">
      <c r="A10">
        <v>2020</v>
      </c>
      <c r="B10">
        <v>75</v>
      </c>
      <c r="C10" t="s">
        <v>11</v>
      </c>
      <c r="D10" s="2">
        <v>55</v>
      </c>
      <c r="E10" s="3">
        <v>4381.71</v>
      </c>
      <c r="H10" s="17">
        <v>2020</v>
      </c>
      <c r="I10" s="18">
        <v>805.08</v>
      </c>
      <c r="J10" s="18">
        <v>4615.21</v>
      </c>
      <c r="K10" s="18">
        <v>1191.9000000000001</v>
      </c>
      <c r="L10" s="18">
        <v>1472.96</v>
      </c>
      <c r="M10" s="18">
        <v>2813.62</v>
      </c>
      <c r="N10" s="18">
        <v>10898.77</v>
      </c>
    </row>
    <row r="11" spans="1:14" x14ac:dyDescent="0.3">
      <c r="A11">
        <v>2021</v>
      </c>
      <c r="B11">
        <v>75</v>
      </c>
      <c r="C11" t="s">
        <v>11</v>
      </c>
      <c r="D11" s="2">
        <v>100</v>
      </c>
      <c r="E11" s="3">
        <v>5667.03</v>
      </c>
      <c r="H11" s="17">
        <v>2021</v>
      </c>
      <c r="I11" s="18">
        <v>9549.2800000000007</v>
      </c>
      <c r="J11" s="18">
        <v>8821.07</v>
      </c>
      <c r="K11" s="18">
        <v>5650.53</v>
      </c>
      <c r="L11" s="18">
        <v>5782.8</v>
      </c>
      <c r="M11" s="18">
        <v>975.22</v>
      </c>
      <c r="N11" s="18">
        <v>30778.899999999998</v>
      </c>
    </row>
    <row r="12" spans="1:14" x14ac:dyDescent="0.3">
      <c r="A12">
        <v>2022</v>
      </c>
      <c r="B12">
        <v>75</v>
      </c>
      <c r="C12" t="s">
        <v>11</v>
      </c>
      <c r="D12" s="2">
        <v>34</v>
      </c>
      <c r="E12" s="3">
        <v>3376.78</v>
      </c>
      <c r="H12" s="17">
        <v>2022</v>
      </c>
      <c r="I12" s="18">
        <v>14666.08</v>
      </c>
      <c r="J12" s="18">
        <v>7078.6</v>
      </c>
      <c r="K12" s="18">
        <v>7318.77</v>
      </c>
      <c r="L12" s="18">
        <v>7822.84</v>
      </c>
      <c r="M12" s="18">
        <v>7094.3</v>
      </c>
      <c r="N12" s="18">
        <v>43980.590000000004</v>
      </c>
    </row>
    <row r="13" spans="1:14" x14ac:dyDescent="0.3">
      <c r="A13">
        <v>2023</v>
      </c>
      <c r="B13">
        <v>75</v>
      </c>
      <c r="C13" t="s">
        <v>11</v>
      </c>
      <c r="D13" s="2">
        <f>1.2*34</f>
        <v>40.799999999999997</v>
      </c>
      <c r="E13" s="3">
        <f>1.2*4543.62</f>
        <v>5452.3440000000001</v>
      </c>
      <c r="H13" s="17">
        <v>2023</v>
      </c>
      <c r="I13" s="18">
        <v>4090.56</v>
      </c>
      <c r="J13" s="18">
        <v>6437.7240000000002</v>
      </c>
      <c r="K13" s="18">
        <v>3975.4199999999996</v>
      </c>
      <c r="L13" s="18">
        <v>9112.4279999999999</v>
      </c>
      <c r="M13" s="18">
        <v>9293.0879999999997</v>
      </c>
      <c r="N13" s="18">
        <v>32909.22</v>
      </c>
    </row>
    <row r="14" spans="1:14" x14ac:dyDescent="0.3">
      <c r="A14">
        <v>2020</v>
      </c>
      <c r="B14">
        <v>81</v>
      </c>
      <c r="C14" t="s">
        <v>7</v>
      </c>
      <c r="D14" s="2">
        <v>9</v>
      </c>
      <c r="E14" s="3">
        <v>805.08</v>
      </c>
      <c r="H14" s="17" t="s">
        <v>16</v>
      </c>
      <c r="I14" s="18">
        <v>29111.000000000004</v>
      </c>
      <c r="J14" s="18">
        <v>26952.603999999999</v>
      </c>
      <c r="K14" s="18">
        <v>18136.62</v>
      </c>
      <c r="L14" s="18">
        <v>24191.027999999998</v>
      </c>
      <c r="M14" s="18">
        <v>20176.227999999999</v>
      </c>
      <c r="N14" s="18">
        <v>118567.48000000001</v>
      </c>
    </row>
    <row r="15" spans="1:14" x14ac:dyDescent="0.3">
      <c r="A15">
        <v>2021</v>
      </c>
      <c r="B15">
        <v>81</v>
      </c>
      <c r="C15" t="s">
        <v>7</v>
      </c>
      <c r="D15" s="2">
        <v>74</v>
      </c>
      <c r="E15" s="3">
        <v>9549.2800000000007</v>
      </c>
    </row>
    <row r="16" spans="1:14" x14ac:dyDescent="0.3">
      <c r="A16">
        <v>2022</v>
      </c>
      <c r="B16">
        <v>81</v>
      </c>
      <c r="C16" t="s">
        <v>7</v>
      </c>
      <c r="D16" s="2">
        <v>95</v>
      </c>
      <c r="E16" s="3">
        <v>14666.08</v>
      </c>
    </row>
    <row r="17" spans="1:14" x14ac:dyDescent="0.3">
      <c r="A17">
        <v>2023</v>
      </c>
      <c r="B17">
        <v>81</v>
      </c>
      <c r="C17" t="s">
        <v>7</v>
      </c>
      <c r="D17" s="2">
        <f>1.2*35</f>
        <v>42</v>
      </c>
      <c r="E17" s="3">
        <f>1.2*3408.8</f>
        <v>4090.56</v>
      </c>
      <c r="H17" s="16" t="s">
        <v>19</v>
      </c>
      <c r="I17" s="16" t="s">
        <v>18</v>
      </c>
    </row>
    <row r="18" spans="1:14" x14ac:dyDescent="0.3">
      <c r="A18">
        <v>2020</v>
      </c>
      <c r="B18">
        <v>118</v>
      </c>
      <c r="C18" t="s">
        <v>12</v>
      </c>
      <c r="D18" s="2">
        <v>41</v>
      </c>
      <c r="E18" s="3">
        <v>2116.6</v>
      </c>
      <c r="H18" s="16" t="s">
        <v>15</v>
      </c>
      <c r="I18" t="s">
        <v>7</v>
      </c>
      <c r="J18" t="s">
        <v>6</v>
      </c>
      <c r="K18" t="s">
        <v>8</v>
      </c>
      <c r="L18" t="s">
        <v>9</v>
      </c>
      <c r="M18" t="s">
        <v>10</v>
      </c>
      <c r="N18" t="s">
        <v>16</v>
      </c>
    </row>
    <row r="19" spans="1:14" x14ac:dyDescent="0.3">
      <c r="A19">
        <v>2021</v>
      </c>
      <c r="B19">
        <v>118</v>
      </c>
      <c r="C19" t="s">
        <v>12</v>
      </c>
      <c r="D19" s="2">
        <v>70</v>
      </c>
      <c r="E19" s="3">
        <v>5308.08</v>
      </c>
      <c r="H19" s="17">
        <v>2020</v>
      </c>
      <c r="I19" s="2">
        <v>9</v>
      </c>
      <c r="J19" s="2">
        <v>49</v>
      </c>
      <c r="K19" s="2">
        <v>29</v>
      </c>
      <c r="L19" s="2">
        <v>19</v>
      </c>
      <c r="M19" s="2">
        <v>48</v>
      </c>
      <c r="N19" s="2">
        <v>154</v>
      </c>
    </row>
    <row r="20" spans="1:14" x14ac:dyDescent="0.3">
      <c r="A20">
        <v>2022</v>
      </c>
      <c r="B20">
        <v>118</v>
      </c>
      <c r="C20" t="s">
        <v>12</v>
      </c>
      <c r="D20" s="2">
        <v>53</v>
      </c>
      <c r="E20" s="3">
        <v>8067.96</v>
      </c>
      <c r="H20" s="17">
        <v>2021</v>
      </c>
      <c r="I20" s="2">
        <v>74</v>
      </c>
      <c r="J20" s="2">
        <v>68</v>
      </c>
      <c r="K20" s="2">
        <v>52</v>
      </c>
      <c r="L20" s="2">
        <v>41</v>
      </c>
      <c r="M20" s="2">
        <v>34</v>
      </c>
      <c r="N20" s="2">
        <v>269</v>
      </c>
    </row>
    <row r="21" spans="1:14" x14ac:dyDescent="0.3">
      <c r="A21">
        <v>2023</v>
      </c>
      <c r="B21">
        <v>118</v>
      </c>
      <c r="C21" t="s">
        <v>12</v>
      </c>
      <c r="D21" s="2">
        <f>1.2*42</f>
        <v>50.4</v>
      </c>
      <c r="E21" s="3">
        <f>1.2*3567.3</f>
        <v>4280.76</v>
      </c>
      <c r="H21" s="17">
        <v>2022</v>
      </c>
      <c r="I21" s="2">
        <v>95</v>
      </c>
      <c r="J21" s="2">
        <v>70</v>
      </c>
      <c r="K21" s="2">
        <v>74</v>
      </c>
      <c r="L21" s="2">
        <v>86</v>
      </c>
      <c r="M21" s="2">
        <v>90</v>
      </c>
      <c r="N21" s="2">
        <v>415</v>
      </c>
    </row>
    <row r="22" spans="1:14" x14ac:dyDescent="0.3">
      <c r="A22">
        <v>2020</v>
      </c>
      <c r="B22">
        <v>120</v>
      </c>
      <c r="C22" t="s">
        <v>8</v>
      </c>
      <c r="D22" s="2">
        <v>29</v>
      </c>
      <c r="E22" s="3">
        <v>1191.9000000000001</v>
      </c>
      <c r="H22" s="17">
        <v>2023</v>
      </c>
      <c r="I22" s="2">
        <v>42</v>
      </c>
      <c r="J22" s="2">
        <v>61.199999999999996</v>
      </c>
      <c r="K22" s="2">
        <v>62.4</v>
      </c>
      <c r="L22" s="2">
        <v>78</v>
      </c>
      <c r="M22" s="2">
        <v>80.399999999999991</v>
      </c>
      <c r="N22" s="2">
        <v>324</v>
      </c>
    </row>
    <row r="23" spans="1:14" x14ac:dyDescent="0.3">
      <c r="A23">
        <v>2021</v>
      </c>
      <c r="B23">
        <v>120</v>
      </c>
      <c r="C23" t="s">
        <v>8</v>
      </c>
      <c r="D23" s="2">
        <v>52</v>
      </c>
      <c r="E23" s="3">
        <v>5650.53</v>
      </c>
      <c r="H23" s="17" t="s">
        <v>16</v>
      </c>
      <c r="I23" s="2">
        <v>220</v>
      </c>
      <c r="J23" s="2">
        <v>248.2</v>
      </c>
      <c r="K23" s="2">
        <v>217.4</v>
      </c>
      <c r="L23" s="2">
        <v>224</v>
      </c>
      <c r="M23" s="2">
        <v>252.39999999999998</v>
      </c>
      <c r="N23" s="2">
        <v>1162</v>
      </c>
    </row>
    <row r="24" spans="1:14" x14ac:dyDescent="0.3">
      <c r="A24">
        <v>2022</v>
      </c>
      <c r="B24">
        <v>120</v>
      </c>
      <c r="C24" t="s">
        <v>8</v>
      </c>
      <c r="D24" s="2">
        <v>74</v>
      </c>
      <c r="E24" s="3">
        <v>7318.77</v>
      </c>
    </row>
    <row r="25" spans="1:14" x14ac:dyDescent="0.3">
      <c r="A25">
        <v>2023</v>
      </c>
      <c r="B25">
        <v>120</v>
      </c>
      <c r="C25" t="s">
        <v>8</v>
      </c>
      <c r="D25" s="2">
        <f>1.2*52</f>
        <v>62.4</v>
      </c>
      <c r="E25" s="3">
        <f>1.2*3312.85</f>
        <v>3975.4199999999996</v>
      </c>
    </row>
    <row r="26" spans="1:14" x14ac:dyDescent="0.3">
      <c r="A26">
        <v>2020</v>
      </c>
      <c r="B26">
        <v>150</v>
      </c>
      <c r="C26" t="s">
        <v>9</v>
      </c>
      <c r="D26" s="2">
        <v>19</v>
      </c>
      <c r="E26" s="3">
        <v>1472.96</v>
      </c>
    </row>
    <row r="27" spans="1:14" x14ac:dyDescent="0.3">
      <c r="A27">
        <v>2021</v>
      </c>
      <c r="B27">
        <v>150</v>
      </c>
      <c r="C27" t="s">
        <v>9</v>
      </c>
      <c r="D27" s="2">
        <v>41</v>
      </c>
      <c r="E27" s="3">
        <v>5782.8</v>
      </c>
    </row>
    <row r="28" spans="1:14" x14ac:dyDescent="0.3">
      <c r="A28">
        <v>2022</v>
      </c>
      <c r="B28">
        <v>150</v>
      </c>
      <c r="C28" t="s">
        <v>9</v>
      </c>
      <c r="D28" s="2">
        <v>86</v>
      </c>
      <c r="E28" s="3">
        <v>7822.84</v>
      </c>
    </row>
    <row r="29" spans="1:14" x14ac:dyDescent="0.3">
      <c r="A29">
        <v>2023</v>
      </c>
      <c r="B29">
        <v>150</v>
      </c>
      <c r="C29" t="s">
        <v>9</v>
      </c>
      <c r="D29" s="2">
        <f>1.2*65</f>
        <v>78</v>
      </c>
      <c r="E29" s="3">
        <f>1.2*7593.69</f>
        <v>9112.4279999999999</v>
      </c>
    </row>
    <row r="30" spans="1:14" x14ac:dyDescent="0.3">
      <c r="A30">
        <v>2020</v>
      </c>
      <c r="B30">
        <v>160</v>
      </c>
      <c r="C30" t="s">
        <v>13</v>
      </c>
      <c r="D30" s="2">
        <v>102</v>
      </c>
      <c r="E30" s="3">
        <v>11492.33</v>
      </c>
    </row>
    <row r="31" spans="1:14" x14ac:dyDescent="0.3">
      <c r="A31">
        <v>2021</v>
      </c>
      <c r="B31">
        <v>160</v>
      </c>
      <c r="C31" t="s">
        <v>13</v>
      </c>
      <c r="D31" s="2">
        <v>15</v>
      </c>
      <c r="E31" s="3">
        <v>82.88</v>
      </c>
    </row>
    <row r="32" spans="1:14" x14ac:dyDescent="0.3">
      <c r="A32">
        <v>2022</v>
      </c>
      <c r="B32">
        <v>160</v>
      </c>
      <c r="C32" t="s">
        <v>13</v>
      </c>
      <c r="D32" s="2">
        <v>50</v>
      </c>
      <c r="E32" s="3">
        <v>5301.32</v>
      </c>
    </row>
    <row r="33" spans="1:5" x14ac:dyDescent="0.3">
      <c r="A33">
        <v>2023</v>
      </c>
      <c r="B33">
        <v>160</v>
      </c>
      <c r="C33" t="s">
        <v>13</v>
      </c>
      <c r="D33" s="2">
        <f>1.2*55</f>
        <v>66</v>
      </c>
      <c r="E33" s="3">
        <f>1.2*5421.72</f>
        <v>6506.0640000000003</v>
      </c>
    </row>
    <row r="34" spans="1:5" x14ac:dyDescent="0.3">
      <c r="A34">
        <v>2020</v>
      </c>
      <c r="B34">
        <v>165</v>
      </c>
      <c r="C34" t="s">
        <v>10</v>
      </c>
      <c r="D34" s="2">
        <v>48</v>
      </c>
      <c r="E34" s="3">
        <v>2813.62</v>
      </c>
    </row>
    <row r="35" spans="1:5" x14ac:dyDescent="0.3">
      <c r="A35">
        <v>2021</v>
      </c>
      <c r="B35">
        <v>165</v>
      </c>
      <c r="C35" t="s">
        <v>10</v>
      </c>
      <c r="D35" s="2">
        <v>34</v>
      </c>
      <c r="E35" s="3">
        <v>975.22</v>
      </c>
    </row>
    <row r="36" spans="1:5" x14ac:dyDescent="0.3">
      <c r="A36">
        <v>2022</v>
      </c>
      <c r="B36">
        <v>165</v>
      </c>
      <c r="C36" t="s">
        <v>10</v>
      </c>
      <c r="D36" s="2">
        <v>90</v>
      </c>
      <c r="E36" s="3">
        <v>7094.3</v>
      </c>
    </row>
    <row r="37" spans="1:5" x14ac:dyDescent="0.3">
      <c r="A37">
        <v>2023</v>
      </c>
      <c r="B37">
        <v>165</v>
      </c>
      <c r="C37" t="s">
        <v>10</v>
      </c>
      <c r="D37" s="2">
        <f>1.2*67</f>
        <v>80.399999999999991</v>
      </c>
      <c r="E37" s="3">
        <f>1.2*7744.24</f>
        <v>9293.0879999999997</v>
      </c>
    </row>
    <row r="38" spans="1:5" x14ac:dyDescent="0.3">
      <c r="A38">
        <v>2020</v>
      </c>
      <c r="B38">
        <v>193</v>
      </c>
      <c r="C38" t="s">
        <v>14</v>
      </c>
      <c r="D38" s="2">
        <v>40</v>
      </c>
      <c r="E38" s="3">
        <v>3052.8</v>
      </c>
    </row>
    <row r="39" spans="1:5" x14ac:dyDescent="0.3">
      <c r="A39">
        <v>2021</v>
      </c>
      <c r="B39">
        <v>193</v>
      </c>
      <c r="C39" t="s">
        <v>14</v>
      </c>
      <c r="D39" s="2">
        <v>74</v>
      </c>
      <c r="E39" s="3">
        <v>6087.76</v>
      </c>
    </row>
    <row r="40" spans="1:5" x14ac:dyDescent="0.3">
      <c r="A40">
        <v>2022</v>
      </c>
      <c r="B40">
        <v>193</v>
      </c>
      <c r="C40" t="s">
        <v>14</v>
      </c>
      <c r="D40" s="2">
        <v>34</v>
      </c>
      <c r="E40" s="3">
        <v>1766.61</v>
      </c>
    </row>
    <row r="41" spans="1:5" x14ac:dyDescent="0.3">
      <c r="A41">
        <v>2023</v>
      </c>
      <c r="B41">
        <v>193</v>
      </c>
      <c r="C41" t="s">
        <v>14</v>
      </c>
      <c r="D41" s="2">
        <f>1.2*60</f>
        <v>72</v>
      </c>
      <c r="E41" s="3">
        <f>1.2*7446.85</f>
        <v>8936.2199999999993</v>
      </c>
    </row>
  </sheetData>
  <pageMargins left="0.7" right="0.7" top="0.75" bottom="0.75" header="0.3" footer="0.3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B70795-F499-43D2-AE84-7143B353DD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2026-06-21T03:02:30Z</dcterms:created>
  <dcterms:modified xsi:type="dcterms:W3CDTF">2026-06-22T14:13:19Z</dcterms:modified>
</cp:coreProperties>
</file>