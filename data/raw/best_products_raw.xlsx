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2e79b2f4e42b9bb/Desktop/acme-buisness-analysis/data/raw/"/>
    </mc:Choice>
  </mc:AlternateContent>
  <xr:revisionPtr revIDLastSave="2" documentId="8_{2C57D137-3270-4F2D-BBD9-0541E1353D5C}" xr6:coauthVersionLast="47" xr6:coauthVersionMax="47" xr10:uidLastSave="{E6490EF0-167B-4293-8877-CD7D5458D6E5}"/>
  <bookViews>
    <workbookView xWindow="-110" yWindow="-110" windowWidth="21820" windowHeight="13900" xr2:uid="{AA2225BE-A69A-47C4-8DAA-98EFA1570A8C}"/>
  </bookViews>
  <sheets>
    <sheet name="bestproducts" sheetId="1" r:id="rId1"/>
  </sheets>
  <externalReferences>
    <externalReference r:id="rId2"/>
  </externalReferences>
  <definedNames>
    <definedName name="ExternalData_1" localSheetId="0" hidden="1">bestproducts!$A$1:$E$41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1" i="1" l="1"/>
  <c r="D41" i="1"/>
  <c r="E37" i="1"/>
  <c r="D37" i="1"/>
  <c r="E33" i="1"/>
  <c r="D33" i="1"/>
  <c r="E29" i="1"/>
  <c r="D29" i="1"/>
  <c r="E25" i="1"/>
  <c r="D25" i="1"/>
  <c r="E21" i="1"/>
  <c r="D21" i="1"/>
  <c r="E17" i="1"/>
  <c r="D17" i="1"/>
  <c r="E13" i="1"/>
  <c r="D13" i="1"/>
  <c r="E9" i="1"/>
  <c r="D9" i="1"/>
  <c r="E5" i="1"/>
  <c r="D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E3B946-BDE2-4DA4-BCBC-5F8DC5F38645}" keepAlive="1" name="Query - bestproducts" description="Connection to the 'bestproducts' query in the workbook." type="5" refreshedVersion="8" background="1" saveData="1">
    <dbPr connection="Provider=Microsoft.Mashup.OleDb.1;Data Source=$Workbook$;Location=bestproducts;Extended Properties=&quot;&quot;" command="SELECT * FROM [bestproducts]"/>
  </connection>
</connections>
</file>

<file path=xl/sharedStrings.xml><?xml version="1.0" encoding="utf-8"?>
<sst xmlns="http://schemas.openxmlformats.org/spreadsheetml/2006/main" count="45" uniqueCount="15">
  <si>
    <t>year</t>
  </si>
  <si>
    <t>productId</t>
  </si>
  <si>
    <t>productName</t>
  </si>
  <si>
    <t>quantitySold</t>
  </si>
  <si>
    <t>revenue</t>
  </si>
  <si>
    <t>Practical Aluminum Table</t>
  </si>
  <si>
    <t>Ergonomic Iron Lamp</t>
  </si>
  <si>
    <t>Aerodynamic Copper Bag</t>
  </si>
  <si>
    <t>Incredible Marble Coat</t>
  </si>
  <si>
    <t>Incredible Wool Plate</t>
  </si>
  <si>
    <t>Mediocre Aluminum Plate</t>
  </si>
  <si>
    <t>Enormous Rubber Shirt</t>
  </si>
  <si>
    <t>Durable Leather Shoes</t>
  </si>
  <si>
    <t>Practical Cotton Wallet</t>
  </si>
  <si>
    <t>Rustic Silk Clock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</si>
</sst>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-[$$-1009]* #,##0.00_-;\-[$$-1009]* #,##0.00_-;_-[$$-1009]* &quot;-&quot;??_-;_-@_-"/>
  </numFmts>
  <fonts count="2" x14ac:knownFonts="1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1" applyNumberFormat="1" applyFont="1"/>
  </cellXfs>
  <cellStyles count="2">
    <cellStyle name="Currency" xfId="1" builtinId="4"/>
    <cellStyle name="Normal" xfId="0" builtinId="0"/>
  </cellStyles>
  <dxfs count="3">
    <dxf>
      <numFmt numFmtId="164" formatCode="_-[$$-1009]* #,##0.00_-;\-[$$-1009]* #,##0.00_-;_-[$$-1009]* &quot;-&quot;??_-;_-@_-"/>
    </dxf>
    <dxf>
      <numFmt numFmtId="1" formatCode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cosc304_lab10.xlsx" TargetMode="External"/><Relationship Id="rId2" Type="http://schemas.openxmlformats.org/officeDocument/2006/relationships/externalLinkPath" Target="https://d.docs.live.net/f2e79b2f4e42b9bb/Desktop/acme-buisness-analysis/cosc304_lab10.xlsx" TargetMode="External"/><Relationship Id="rId1" Type="http://schemas.openxmlformats.org/officeDocument/2006/relationships/externalLinkPath" Target="/f2e79b2f4e42b9bb/Desktop/acme-buisness-analysis/cosc304_lab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ustomersbyregion"/>
      <sheetName val="customersbyregion (2)"/>
      <sheetName val="worstproducts"/>
      <sheetName val="worstproducts (2)"/>
      <sheetName val="bestproducts"/>
      <sheetName val="paymentmethods"/>
      <sheetName val="inventorymanagement"/>
    </sheetNames>
    <sheetDataSet>
      <sheetData sheetId="0"/>
      <sheetData sheetId="1"/>
      <sheetData sheetId="2"/>
      <sheetData sheetId="3"/>
      <sheetData sheetId="4">
        <row r="1">
          <cell r="K1" t="str">
            <v>quantitySold</v>
          </cell>
          <cell r="L1" t="str">
            <v>revenue</v>
          </cell>
        </row>
        <row r="2">
          <cell r="J2" t="str">
            <v>Ergonomic Iron Lamp</v>
          </cell>
          <cell r="K2">
            <v>71.699999999999818</v>
          </cell>
          <cell r="L2">
            <v>7669.418999999878</v>
          </cell>
        </row>
        <row r="3">
          <cell r="J3" t="str">
            <v>Aerodynamic Copper Bag</v>
          </cell>
          <cell r="K3">
            <v>85</v>
          </cell>
          <cell r="L3">
            <v>11021.060000000056</v>
          </cell>
        </row>
        <row r="4">
          <cell r="J4" t="str">
            <v>Incredible Marble Coat</v>
          </cell>
          <cell r="K4">
            <v>84.900000000001455</v>
          </cell>
          <cell r="L4">
            <v>7038.8549999999814</v>
          </cell>
        </row>
        <row r="5">
          <cell r="J5" t="str">
            <v>Incredible Wool Plate</v>
          </cell>
          <cell r="K5">
            <v>111.5</v>
          </cell>
          <cell r="L5">
            <v>12287.368000000715</v>
          </cell>
        </row>
        <row r="6">
          <cell r="J6" t="str">
            <v>Mediocre Aluminum Plate</v>
          </cell>
          <cell r="K6">
            <v>101.39999999999782</v>
          </cell>
          <cell r="L6">
            <v>11433.428000000305</v>
          </cell>
        </row>
      </sheetData>
      <sheetData sheetId="5"/>
      <sheetData sheetId="6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F0ADDB8-CDD4-46E8-93D3-7E68F317F46E}" autoFormatId="16" applyNumberFormats="0" applyBorderFormats="0" applyFontFormats="0" applyPatternFormats="0" applyAlignmentFormats="0" applyWidthHeightFormats="0">
  <queryTableRefresh nextId="7">
    <queryTableFields count="5">
      <queryTableField id="5" name="year" tableColumnId="5"/>
      <queryTableField id="1" name="productId" tableColumnId="1"/>
      <queryTableField id="2" name="productName" tableColumnId="2"/>
      <queryTableField id="3" name="quantitySold" tableColumnId="3"/>
      <queryTableField id="4" name="revenu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82E54C-E988-4C30-B846-3B9B8273E307}" name="bestproducts" displayName="bestproducts" ref="A1:E41" tableType="queryTable" totalsRowShown="0">
  <autoFilter ref="A1:E41" xr:uid="{67EBA4BE-28A8-4E6E-AA20-06A9A844879C}"/>
  <tableColumns count="5">
    <tableColumn id="5" xr3:uid="{077551B1-14EF-46C3-8A14-EE3CAD532F66}" uniqueName="5" name="year" queryTableFieldId="5"/>
    <tableColumn id="1" xr3:uid="{311F6521-253F-4D34-AB32-BE57A83EBF95}" uniqueName="1" name="productId" queryTableFieldId="1"/>
    <tableColumn id="2" xr3:uid="{688BCBA9-6CDF-4216-B4B7-8B1E711DF32A}" uniqueName="2" name="productName" queryTableFieldId="2" dataDxfId="2"/>
    <tableColumn id="3" xr3:uid="{7EEB5164-FD46-4A9A-9317-AAA1818093D2}" uniqueName="3" name="quantitySold" queryTableFieldId="3" dataDxfId="1"/>
    <tableColumn id="4" xr3:uid="{7614981F-A1BC-41BC-BF64-B3A195C34AD6}" uniqueName="4" name="revenue" queryTableFieldId="4" dataDxfId="0" dataCellStyle="Currency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Droplet">
  <a:themeElements>
    <a:clrScheme name="Droplet">
      <a:dk1>
        <a:sysClr val="windowText" lastClr="000000"/>
      </a:dk1>
      <a:lt1>
        <a:sysClr val="window" lastClr="FFFFFF"/>
      </a:lt1>
      <a:dk2>
        <a:srgbClr val="355071"/>
      </a:dk2>
      <a:lt2>
        <a:srgbClr val="AABED7"/>
      </a:lt2>
      <a:accent1>
        <a:srgbClr val="2FA3EE"/>
      </a:accent1>
      <a:accent2>
        <a:srgbClr val="4BCAAD"/>
      </a:accent2>
      <a:accent3>
        <a:srgbClr val="86C157"/>
      </a:accent3>
      <a:accent4>
        <a:srgbClr val="D99C3F"/>
      </a:accent4>
      <a:accent5>
        <a:srgbClr val="CE6633"/>
      </a:accent5>
      <a:accent6>
        <a:srgbClr val="A35DD1"/>
      </a:accent6>
      <a:hlink>
        <a:srgbClr val="56BCFE"/>
      </a:hlink>
      <a:folHlink>
        <a:srgbClr val="97C5E3"/>
      </a:folHlink>
    </a:clrScheme>
    <a:fontScheme name="Drople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roplet">
      <a:fillStyleLst>
        <a:solidFill>
          <a:schemeClr val="phClr"/>
        </a:solidFill>
        <a:solidFill>
          <a:schemeClr val="phClr">
            <a:tint val="69000"/>
            <a:satMod val="105000"/>
            <a:lumMod val="110000"/>
          </a:schemeClr>
        </a:solidFill>
        <a:gradFill rotWithShape="1">
          <a:gsLst>
            <a:gs pos="0">
              <a:schemeClr val="phClr">
                <a:tint val="94000"/>
                <a:satMod val="100000"/>
                <a:lumMod val="108000"/>
              </a:schemeClr>
            </a:gs>
            <a:gs pos="50000">
              <a:schemeClr val="phClr">
                <a:tint val="98000"/>
                <a:shade val="100000"/>
                <a:satMod val="100000"/>
                <a:lumMod val="100000"/>
              </a:schemeClr>
            </a:gs>
            <a:gs pos="100000">
              <a:schemeClr val="phClr">
                <a:shade val="72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60000"/>
            </a:schemeClr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</a:effectStyle>
        <a:effectStyle>
          <a:effectLst>
            <a:outerShdw blurRad="63500" dist="25400" dir="5400000" algn="ctr" rotWithShape="0">
              <a:srgbClr val="000000">
                <a:alpha val="69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200000"/>
            </a:lightRig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100000"/>
                <a:hueMod val="130000"/>
                <a:satMod val="150000"/>
                <a:lumMod val="112000"/>
              </a:schemeClr>
            </a:gs>
            <a:gs pos="100000">
              <a:schemeClr val="phClr">
                <a:shade val="92000"/>
                <a:satMod val="140000"/>
                <a:lumMod val="11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roplet" id="{8984A317-299A-4E50-B45D-BFC9EDE2337A}" vid="{A633B6A3-9E7F-4C10-9C98-2517A3134361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4D6CD-CC4B-4E30-93B4-CCF6BD6488AC}">
  <dimension ref="A1:E41"/>
  <sheetViews>
    <sheetView tabSelected="1" workbookViewId="0">
      <selection activeCell="J14" sqref="J14"/>
    </sheetView>
  </sheetViews>
  <sheetFormatPr defaultRowHeight="14" x14ac:dyDescent="0.3"/>
  <cols>
    <col min="1" max="1" width="6.83203125" customWidth="1"/>
    <col min="2" max="2" width="11.4140625" customWidth="1"/>
    <col min="3" max="3" width="23.4140625" customWidth="1"/>
    <col min="4" max="4" width="13.9140625" customWidth="1"/>
    <col min="5" max="5" width="11" customWidth="1"/>
    <col min="9" max="9" width="11" customWidth="1"/>
    <col min="10" max="10" width="22.58203125" customWidth="1"/>
    <col min="11" max="11" width="13.58203125" customWidth="1"/>
    <col min="12" max="12" width="12.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2020</v>
      </c>
      <c r="B2">
        <v>26</v>
      </c>
      <c r="C2" t="s">
        <v>5</v>
      </c>
      <c r="D2" s="1">
        <v>55</v>
      </c>
      <c r="E2" s="2">
        <v>7588.24</v>
      </c>
    </row>
    <row r="3" spans="1:5" x14ac:dyDescent="0.3">
      <c r="A3">
        <v>2021</v>
      </c>
      <c r="B3">
        <v>26</v>
      </c>
      <c r="C3" t="s">
        <v>5</v>
      </c>
      <c r="D3" s="1">
        <v>53</v>
      </c>
      <c r="E3" s="2">
        <v>3893.3</v>
      </c>
    </row>
    <row r="4" spans="1:5" x14ac:dyDescent="0.3">
      <c r="A4">
        <v>2022</v>
      </c>
      <c r="B4">
        <v>26</v>
      </c>
      <c r="C4" t="s">
        <v>5</v>
      </c>
      <c r="D4" s="1">
        <v>69</v>
      </c>
      <c r="E4" s="2">
        <v>6167.55</v>
      </c>
    </row>
    <row r="5" spans="1:5" x14ac:dyDescent="0.3">
      <c r="A5">
        <v>2023</v>
      </c>
      <c r="B5">
        <v>26</v>
      </c>
      <c r="C5" t="s">
        <v>5</v>
      </c>
      <c r="D5" s="1">
        <f>1.2*28</f>
        <v>33.6</v>
      </c>
      <c r="E5" s="2">
        <f>1.2*2270.6</f>
        <v>2724.72</v>
      </c>
    </row>
    <row r="6" spans="1:5" x14ac:dyDescent="0.3">
      <c r="A6">
        <v>2020</v>
      </c>
      <c r="B6">
        <v>72</v>
      </c>
      <c r="C6" t="s">
        <v>6</v>
      </c>
      <c r="D6" s="1">
        <v>49</v>
      </c>
      <c r="E6" s="2">
        <v>4615.21</v>
      </c>
    </row>
    <row r="7" spans="1:5" x14ac:dyDescent="0.3">
      <c r="A7">
        <v>2021</v>
      </c>
      <c r="B7">
        <v>72</v>
      </c>
      <c r="C7" t="s">
        <v>6</v>
      </c>
      <c r="D7" s="1">
        <v>68</v>
      </c>
      <c r="E7" s="2">
        <v>8821.07</v>
      </c>
    </row>
    <row r="8" spans="1:5" x14ac:dyDescent="0.3">
      <c r="A8">
        <v>2022</v>
      </c>
      <c r="B8">
        <v>72</v>
      </c>
      <c r="C8" t="s">
        <v>6</v>
      </c>
      <c r="D8" s="1">
        <v>70</v>
      </c>
      <c r="E8" s="2">
        <v>7078.6</v>
      </c>
    </row>
    <row r="9" spans="1:5" x14ac:dyDescent="0.3">
      <c r="A9">
        <v>2023</v>
      </c>
      <c r="B9">
        <v>72</v>
      </c>
      <c r="C9" t="s">
        <v>6</v>
      </c>
      <c r="D9" s="1">
        <f>1.2*51</f>
        <v>61.199999999999996</v>
      </c>
      <c r="E9" s="2">
        <f>1.2*5364.77</f>
        <v>6437.7240000000002</v>
      </c>
    </row>
    <row r="10" spans="1:5" x14ac:dyDescent="0.3">
      <c r="A10">
        <v>2020</v>
      </c>
      <c r="B10">
        <v>75</v>
      </c>
      <c r="C10" t="s">
        <v>11</v>
      </c>
      <c r="D10" s="1">
        <v>55</v>
      </c>
      <c r="E10" s="2">
        <v>4381.71</v>
      </c>
    </row>
    <row r="11" spans="1:5" x14ac:dyDescent="0.3">
      <c r="A11">
        <v>2021</v>
      </c>
      <c r="B11">
        <v>75</v>
      </c>
      <c r="C11" t="s">
        <v>11</v>
      </c>
      <c r="D11" s="1">
        <v>100</v>
      </c>
      <c r="E11" s="2">
        <v>5667.03</v>
      </c>
    </row>
    <row r="12" spans="1:5" x14ac:dyDescent="0.3">
      <c r="A12">
        <v>2022</v>
      </c>
      <c r="B12">
        <v>75</v>
      </c>
      <c r="C12" t="s">
        <v>11</v>
      </c>
      <c r="D12" s="1">
        <v>34</v>
      </c>
      <c r="E12" s="2">
        <v>3376.78</v>
      </c>
    </row>
    <row r="13" spans="1:5" x14ac:dyDescent="0.3">
      <c r="A13">
        <v>2023</v>
      </c>
      <c r="B13">
        <v>75</v>
      </c>
      <c r="C13" t="s">
        <v>11</v>
      </c>
      <c r="D13" s="1">
        <f>1.2*34</f>
        <v>40.799999999999997</v>
      </c>
      <c r="E13" s="2">
        <f>1.2*4543.62</f>
        <v>5452.3440000000001</v>
      </c>
    </row>
    <row r="14" spans="1:5" x14ac:dyDescent="0.3">
      <c r="A14">
        <v>2020</v>
      </c>
      <c r="B14">
        <v>81</v>
      </c>
      <c r="C14" t="s">
        <v>7</v>
      </c>
      <c r="D14" s="1">
        <v>9</v>
      </c>
      <c r="E14" s="2">
        <v>805.08</v>
      </c>
    </row>
    <row r="15" spans="1:5" x14ac:dyDescent="0.3">
      <c r="A15">
        <v>2021</v>
      </c>
      <c r="B15">
        <v>81</v>
      </c>
      <c r="C15" t="s">
        <v>7</v>
      </c>
      <c r="D15" s="1">
        <v>74</v>
      </c>
      <c r="E15" s="2">
        <v>9549.2800000000007</v>
      </c>
    </row>
    <row r="16" spans="1:5" x14ac:dyDescent="0.3">
      <c r="A16">
        <v>2022</v>
      </c>
      <c r="B16">
        <v>81</v>
      </c>
      <c r="C16" t="s">
        <v>7</v>
      </c>
      <c r="D16" s="1">
        <v>95</v>
      </c>
      <c r="E16" s="2">
        <v>14666.08</v>
      </c>
    </row>
    <row r="17" spans="1:5" x14ac:dyDescent="0.3">
      <c r="A17">
        <v>2023</v>
      </c>
      <c r="B17">
        <v>81</v>
      </c>
      <c r="C17" t="s">
        <v>7</v>
      </c>
      <c r="D17" s="1">
        <f>1.2*35</f>
        <v>42</v>
      </c>
      <c r="E17" s="2">
        <f>1.2*3408.8</f>
        <v>4090.56</v>
      </c>
    </row>
    <row r="18" spans="1:5" x14ac:dyDescent="0.3">
      <c r="A18">
        <v>2020</v>
      </c>
      <c r="B18">
        <v>118</v>
      </c>
      <c r="C18" t="s">
        <v>12</v>
      </c>
      <c r="D18" s="1">
        <v>41</v>
      </c>
      <c r="E18" s="2">
        <v>2116.6</v>
      </c>
    </row>
    <row r="19" spans="1:5" x14ac:dyDescent="0.3">
      <c r="A19">
        <v>2021</v>
      </c>
      <c r="B19">
        <v>118</v>
      </c>
      <c r="C19" t="s">
        <v>12</v>
      </c>
      <c r="D19" s="1">
        <v>70</v>
      </c>
      <c r="E19" s="2">
        <v>5308.08</v>
      </c>
    </row>
    <row r="20" spans="1:5" x14ac:dyDescent="0.3">
      <c r="A20">
        <v>2022</v>
      </c>
      <c r="B20">
        <v>118</v>
      </c>
      <c r="C20" t="s">
        <v>12</v>
      </c>
      <c r="D20" s="1">
        <v>53</v>
      </c>
      <c r="E20" s="2">
        <v>8067.96</v>
      </c>
    </row>
    <row r="21" spans="1:5" x14ac:dyDescent="0.3">
      <c r="A21">
        <v>2023</v>
      </c>
      <c r="B21">
        <v>118</v>
      </c>
      <c r="C21" t="s">
        <v>12</v>
      </c>
      <c r="D21" s="1">
        <f>1.2*42</f>
        <v>50.4</v>
      </c>
      <c r="E21" s="2">
        <f>1.2*3567.3</f>
        <v>4280.76</v>
      </c>
    </row>
    <row r="22" spans="1:5" x14ac:dyDescent="0.3">
      <c r="A22">
        <v>2020</v>
      </c>
      <c r="B22">
        <v>120</v>
      </c>
      <c r="C22" t="s">
        <v>8</v>
      </c>
      <c r="D22" s="1">
        <v>29</v>
      </c>
      <c r="E22" s="2">
        <v>1191.9000000000001</v>
      </c>
    </row>
    <row r="23" spans="1:5" x14ac:dyDescent="0.3">
      <c r="A23">
        <v>2021</v>
      </c>
      <c r="B23">
        <v>120</v>
      </c>
      <c r="C23" t="s">
        <v>8</v>
      </c>
      <c r="D23" s="1">
        <v>52</v>
      </c>
      <c r="E23" s="2">
        <v>5650.53</v>
      </c>
    </row>
    <row r="24" spans="1:5" x14ac:dyDescent="0.3">
      <c r="A24">
        <v>2022</v>
      </c>
      <c r="B24">
        <v>120</v>
      </c>
      <c r="C24" t="s">
        <v>8</v>
      </c>
      <c r="D24" s="1">
        <v>74</v>
      </c>
      <c r="E24" s="2">
        <v>7318.77</v>
      </c>
    </row>
    <row r="25" spans="1:5" x14ac:dyDescent="0.3">
      <c r="A25">
        <v>2023</v>
      </c>
      <c r="B25">
        <v>120</v>
      </c>
      <c r="C25" t="s">
        <v>8</v>
      </c>
      <c r="D25" s="1">
        <f>1.2*52</f>
        <v>62.4</v>
      </c>
      <c r="E25" s="2">
        <f>1.2*3312.85</f>
        <v>3975.4199999999996</v>
      </c>
    </row>
    <row r="26" spans="1:5" x14ac:dyDescent="0.3">
      <c r="A26">
        <v>2020</v>
      </c>
      <c r="B26">
        <v>150</v>
      </c>
      <c r="C26" t="s">
        <v>9</v>
      </c>
      <c r="D26" s="1">
        <v>19</v>
      </c>
      <c r="E26" s="2">
        <v>1472.96</v>
      </c>
    </row>
    <row r="27" spans="1:5" x14ac:dyDescent="0.3">
      <c r="A27">
        <v>2021</v>
      </c>
      <c r="B27">
        <v>150</v>
      </c>
      <c r="C27" t="s">
        <v>9</v>
      </c>
      <c r="D27" s="1">
        <v>41</v>
      </c>
      <c r="E27" s="2">
        <v>5782.8</v>
      </c>
    </row>
    <row r="28" spans="1:5" x14ac:dyDescent="0.3">
      <c r="A28">
        <v>2022</v>
      </c>
      <c r="B28">
        <v>150</v>
      </c>
      <c r="C28" t="s">
        <v>9</v>
      </c>
      <c r="D28" s="1">
        <v>86</v>
      </c>
      <c r="E28" s="2">
        <v>7822.84</v>
      </c>
    </row>
    <row r="29" spans="1:5" x14ac:dyDescent="0.3">
      <c r="A29">
        <v>2023</v>
      </c>
      <c r="B29">
        <v>150</v>
      </c>
      <c r="C29" t="s">
        <v>9</v>
      </c>
      <c r="D29" s="1">
        <f>1.2*65</f>
        <v>78</v>
      </c>
      <c r="E29" s="2">
        <f>1.2*7593.69</f>
        <v>9112.4279999999999</v>
      </c>
    </row>
    <row r="30" spans="1:5" x14ac:dyDescent="0.3">
      <c r="A30">
        <v>2020</v>
      </c>
      <c r="B30">
        <v>160</v>
      </c>
      <c r="C30" t="s">
        <v>13</v>
      </c>
      <c r="D30" s="1">
        <v>102</v>
      </c>
      <c r="E30" s="2">
        <v>11492.33</v>
      </c>
    </row>
    <row r="31" spans="1:5" x14ac:dyDescent="0.3">
      <c r="A31">
        <v>2021</v>
      </c>
      <c r="B31">
        <v>160</v>
      </c>
      <c r="C31" t="s">
        <v>13</v>
      </c>
      <c r="D31" s="1">
        <v>15</v>
      </c>
      <c r="E31" s="2">
        <v>82.88</v>
      </c>
    </row>
    <row r="32" spans="1:5" x14ac:dyDescent="0.3">
      <c r="A32">
        <v>2022</v>
      </c>
      <c r="B32">
        <v>160</v>
      </c>
      <c r="C32" t="s">
        <v>13</v>
      </c>
      <c r="D32" s="1">
        <v>50</v>
      </c>
      <c r="E32" s="2">
        <v>5301.32</v>
      </c>
    </row>
    <row r="33" spans="1:5" x14ac:dyDescent="0.3">
      <c r="A33">
        <v>2023</v>
      </c>
      <c r="B33">
        <v>160</v>
      </c>
      <c r="C33" t="s">
        <v>13</v>
      </c>
      <c r="D33" s="1">
        <f>1.2*55</f>
        <v>66</v>
      </c>
      <c r="E33" s="2">
        <f>1.2*5421.72</f>
        <v>6506.0640000000003</v>
      </c>
    </row>
    <row r="34" spans="1:5" x14ac:dyDescent="0.3">
      <c r="A34">
        <v>2020</v>
      </c>
      <c r="B34">
        <v>165</v>
      </c>
      <c r="C34" t="s">
        <v>10</v>
      </c>
      <c r="D34" s="1">
        <v>48</v>
      </c>
      <c r="E34" s="2">
        <v>2813.62</v>
      </c>
    </row>
    <row r="35" spans="1:5" x14ac:dyDescent="0.3">
      <c r="A35">
        <v>2021</v>
      </c>
      <c r="B35">
        <v>165</v>
      </c>
      <c r="C35" t="s">
        <v>10</v>
      </c>
      <c r="D35" s="1">
        <v>34</v>
      </c>
      <c r="E35" s="2">
        <v>975.22</v>
      </c>
    </row>
    <row r="36" spans="1:5" x14ac:dyDescent="0.3">
      <c r="A36">
        <v>2022</v>
      </c>
      <c r="B36">
        <v>165</v>
      </c>
      <c r="C36" t="s">
        <v>10</v>
      </c>
      <c r="D36" s="1">
        <v>90</v>
      </c>
      <c r="E36" s="2">
        <v>7094.3</v>
      </c>
    </row>
    <row r="37" spans="1:5" x14ac:dyDescent="0.3">
      <c r="A37">
        <v>2023</v>
      </c>
      <c r="B37">
        <v>165</v>
      </c>
      <c r="C37" t="s">
        <v>10</v>
      </c>
      <c r="D37" s="1">
        <f>1.2*67</f>
        <v>80.399999999999991</v>
      </c>
      <c r="E37" s="2">
        <f>1.2*7744.24</f>
        <v>9293.0879999999997</v>
      </c>
    </row>
    <row r="38" spans="1:5" x14ac:dyDescent="0.3">
      <c r="A38">
        <v>2020</v>
      </c>
      <c r="B38">
        <v>193</v>
      </c>
      <c r="C38" t="s">
        <v>14</v>
      </c>
      <c r="D38" s="1">
        <v>40</v>
      </c>
      <c r="E38" s="2">
        <v>3052.8</v>
      </c>
    </row>
    <row r="39" spans="1:5" x14ac:dyDescent="0.3">
      <c r="A39">
        <v>2021</v>
      </c>
      <c r="B39">
        <v>193</v>
      </c>
      <c r="C39" t="s">
        <v>14</v>
      </c>
      <c r="D39" s="1">
        <v>74</v>
      </c>
      <c r="E39" s="2">
        <v>6087.76</v>
      </c>
    </row>
    <row r="40" spans="1:5" x14ac:dyDescent="0.3">
      <c r="A40">
        <v>2022</v>
      </c>
      <c r="B40">
        <v>193</v>
      </c>
      <c r="C40" t="s">
        <v>14</v>
      </c>
      <c r="D40" s="1">
        <v>34</v>
      </c>
      <c r="E40" s="2">
        <v>1766.61</v>
      </c>
    </row>
    <row r="41" spans="1:5" x14ac:dyDescent="0.3">
      <c r="A41">
        <v>2023</v>
      </c>
      <c r="B41">
        <v>193</v>
      </c>
      <c r="C41" t="s">
        <v>14</v>
      </c>
      <c r="D41" s="1">
        <f>1.2*60</f>
        <v>72</v>
      </c>
      <c r="E41" s="2">
        <f>1.2*7446.85</f>
        <v>8936.2199999999993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1D314F-002B-4141-BD0E-5CDCE5F675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bestproducts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Rianna Sundlie</dc:creator>
  <cp:lastModifiedBy>Rianna Sundlie</cp:lastModifiedBy>
  <dcterms:created xsi:type="dcterms:W3CDTF">2026-06-21T03:01:33Z</dcterms:created>
  <dcterms:modified xsi:type="dcterms:W3CDTF">2026-06-21T03:03:52Z</dcterms:modified>
</cp:coreProperties>
</file>