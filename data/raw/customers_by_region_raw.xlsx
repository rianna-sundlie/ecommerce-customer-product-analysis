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f2e79b2f4e42b9bb/Desktop/acme-buisness-analysis/data/raw/"/>
    </mc:Choice>
  </mc:AlternateContent>
  <xr:revisionPtr revIDLastSave="2" documentId="8_{C9645384-2BFA-49E7-B97C-72DF7047753D}" xr6:coauthVersionLast="47" xr6:coauthVersionMax="47" xr10:uidLastSave="{6805D191-4A5A-45EC-AFA5-4703242A73F3}"/>
  <bookViews>
    <workbookView xWindow="-110" yWindow="-110" windowWidth="21820" windowHeight="13900" xr2:uid="{924ACC46-E588-46B1-A931-2C43FD97D9B3}"/>
  </bookViews>
  <sheets>
    <sheet name="customersbyregion" sheetId="1" r:id="rId1"/>
  </sheets>
  <definedNames>
    <definedName name="_xlchart.v6.0" hidden="1">customersbyregion!$A$31:$B$31</definedName>
    <definedName name="_xlchart.v6.1" hidden="1">customersbyregion!$A$32:$B$41</definedName>
    <definedName name="_xlchart.v6.10" hidden="1">customersbyregion!$D$31</definedName>
    <definedName name="_xlchart.v6.11" hidden="1">customersbyregion!$D$32:$D$41</definedName>
    <definedName name="_xlchart.v6.2" hidden="1">customersbyregion!$C$31</definedName>
    <definedName name="_xlchart.v6.3" hidden="1">customersbyregion!$C$32:$C$41</definedName>
    <definedName name="_xlchart.v6.4" hidden="1">customersbyregion!$D$31</definedName>
    <definedName name="_xlchart.v6.5" hidden="1">customersbyregion!$D$32:$D$41</definedName>
    <definedName name="_xlchart.v6.6" hidden="1">customersbyregion!$A$31:$B$31</definedName>
    <definedName name="_xlchart.v6.7" hidden="1">customersbyregion!$A$32:$B$41</definedName>
    <definedName name="_xlchart.v6.8" hidden="1">customersbyregion!$C$31</definedName>
    <definedName name="_xlchart.v6.9" hidden="1">customersbyregion!$C$32:$C$41</definedName>
    <definedName name="ExternalData_1" localSheetId="0" hidden="1">customersbyregion!$A$1:$D$41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41" i="1" l="1"/>
  <c r="C41" i="1"/>
  <c r="D37" i="1"/>
  <c r="C37" i="1"/>
  <c r="D33" i="1"/>
  <c r="C33" i="1"/>
  <c r="D29" i="1"/>
  <c r="C29" i="1"/>
  <c r="D25" i="1"/>
  <c r="C25" i="1"/>
  <c r="D21" i="1"/>
  <c r="C21" i="1"/>
  <c r="D17" i="1"/>
  <c r="C17" i="1"/>
  <c r="D13" i="1"/>
  <c r="C13" i="1"/>
  <c r="D9" i="1"/>
  <c r="C9" i="1"/>
  <c r="D5" i="1"/>
  <c r="C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83495A-C7F1-4049-B4B0-8640E8ABCE9D}" keepAlive="1" name="Query - customersbyregion (3)" description="Connection to the 'customersbyregion (3)' query in the workbook." type="5" refreshedVersion="8" background="1" saveData="1">
    <dbPr connection="Provider=Microsoft.Mashup.OleDb.1;Data Source=$Workbook$;Location=&quot;customersbyregion (3)&quot;;Extended Properties=&quot;&quot;" command="SELECT * FROM [customersbyregion (3)]"/>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9"/>
        </ext>
      </extLst>
    </bk>
    <bk>
      <extLst>
        <ext uri="{3e2802c4-a4d2-4d8b-9148-e3be6c30e623}">
          <xlrd:rvb i="37"/>
        </ext>
      </extLst>
    </bk>
    <bk>
      <extLst>
        <ext uri="{3e2802c4-a4d2-4d8b-9148-e3be6c30e623}">
          <xlrd:rvb i="52"/>
        </ext>
      </extLst>
    </bk>
    <bk>
      <extLst>
        <ext uri="{3e2802c4-a4d2-4d8b-9148-e3be6c30e623}">
          <xlrd:rvb i="70"/>
        </ext>
      </extLst>
    </bk>
    <bk>
      <extLst>
        <ext uri="{3e2802c4-a4d2-4d8b-9148-e3be6c30e623}">
          <xlrd:rvb i="85"/>
        </ext>
      </extLst>
    </bk>
    <bk>
      <extLst>
        <ext uri="{3e2802c4-a4d2-4d8b-9148-e3be6c30e623}">
          <xlrd:rvb i="99"/>
        </ext>
      </extLst>
    </bk>
    <bk>
      <extLst>
        <ext uri="{3e2802c4-a4d2-4d8b-9148-e3be6c30e623}">
          <xlrd:rvb i="115"/>
        </ext>
      </extLst>
    </bk>
    <bk>
      <extLst>
        <ext uri="{3e2802c4-a4d2-4d8b-9148-e3be6c30e623}">
          <xlrd:rvb i="129"/>
        </ext>
      </extLst>
    </bk>
    <bk>
      <extLst>
        <ext uri="{3e2802c4-a4d2-4d8b-9148-e3be6c30e623}">
          <xlrd:rvb i="146"/>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<sst xmlns="http://schemas.openxmlformats.org/spreadsheetml/2006/main" count="5" uniqueCount="5">
  <si>
    <t>year</t>
  </si>
  <si>
    <t>state</t>
  </si>
  <si>
    <t>numCustomers</t>
  </si>
  <si>
    <t>revenue</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</si>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</sst>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1" x14ac:knownFonts="1">
    <font>
      <sz val="11"/>
      <color theme="1"/>
      <name val="Tw Cen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8" fontId="0" fillId="0" borderId="0" xfId="0" applyNumberFormat="1"/>
    <xf numFmtId="1" fontId="0" fillId="0" borderId="0" xfId="0" applyNumberFormat="1"/>
  </cellXfs>
  <cellStyles count="1">
    <cellStyle name="Normal" xfId="0" builtinId="0"/>
  </cellStyles>
  <dxfs count="3">
    <dxf>
      <numFmt numFmtId="12" formatCode="&quot;$&quot;#,##0.00;[Red]\-&quot;$&quot;#,##0.00"/>
    </dxf>
    <dxf>
      <numFmt numFmtId="12" formatCode="&quot;$&quot;#,##0.00;[Red]\-&quot;$&quot;#,##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3" Type="http://schemas.openxmlformats.org/officeDocument/2006/relationships/connections" Target="connections.xml"/><Relationship Id="rId7" Type="http://schemas.microsoft.com/office/2020/07/relationships/rdRichValueWebImage" Target="richData/rdRichValueWebImage.xml"/><Relationship Id="rId12" Type="http://schemas.microsoft.com/office/2017/06/relationships/rdSupportingPropertyBagStructure" Target="richData/rdsupportingpropertybagstructure.xml"/><Relationship Id="rId2" Type="http://schemas.openxmlformats.org/officeDocument/2006/relationships/theme" Target="theme/theme1.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ichStyles" Target="richData/richStyles.xml"/><Relationship Id="rId5" Type="http://schemas.openxmlformats.org/officeDocument/2006/relationships/sharedStrings" Target="sharedStrings.xml"/><Relationship Id="rId15" Type="http://schemas.openxmlformats.org/officeDocument/2006/relationships/calcChain" Target="calcChain.xml"/><Relationship Id="rId10" Type="http://schemas.microsoft.com/office/2017/06/relationships/rdArray" Target="richData/rdarray.xml"/><Relationship Id="rId4" Type="http://schemas.openxmlformats.org/officeDocument/2006/relationships/styles" Target="styles.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32E825-808F-44C8-8D50-B99C2B4C96C8}" autoFormatId="16" applyNumberFormats="0" applyBorderFormats="0" applyFontFormats="0" applyPatternFormats="0" applyAlignmentFormats="0" applyWidthHeightFormats="0">
  <queryTableRefresh nextId="8" unboundColumnsRight="1">
    <queryTableFields count="5">
      <queryTableField id="1" name="year" tableColumnId="1"/>
      <queryTableField id="2" name="state" tableColumnId="2"/>
      <queryTableField id="5" name="numCustomers" tableColumnId="5"/>
      <queryTableField id="4" name="revenue" tableColumnId="4"/>
      <queryTableField id="7" dataBound="0" tableColumnId="6"/>
    </queryTableFields>
  </queryTableRefresh>
</queryTable>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New%20Brunswick" TargetMode="External"/><Relationship Id="rId13" Type="http://schemas.openxmlformats.org/officeDocument/2006/relationships/hyperlink" Target="https://www.bing.com/th?id=OSK.105070553dccf583f36eb435ac6a9eed&amp;qlt=95" TargetMode="External"/><Relationship Id="rId18" Type="http://schemas.openxmlformats.org/officeDocument/2006/relationships/hyperlink" Target="https://www.bing.com/images/search?form=xlimg&amp;q=Quebec" TargetMode="External"/><Relationship Id="rId3" Type="http://schemas.openxmlformats.org/officeDocument/2006/relationships/hyperlink" Target="https://www.bing.com/th?id=OSK.1988147987f51894dcbaaec54fab6cb5&amp;qlt=95" TargetMode="External"/><Relationship Id="rId7" Type="http://schemas.openxmlformats.org/officeDocument/2006/relationships/hyperlink" Target="https://www.bing.com/th?id=OSK.e16290c278873762b9d110db4b8b220d&amp;qlt=95" TargetMode="External"/><Relationship Id="rId12" Type="http://schemas.openxmlformats.org/officeDocument/2006/relationships/hyperlink" Target="https://www.bing.com/images/search?form=xlimg&amp;q=Nova%20Scotia" TargetMode="External"/><Relationship Id="rId17" Type="http://schemas.openxmlformats.org/officeDocument/2006/relationships/hyperlink" Target="https://www.bing.com/th?id=OSK.a5778b355b8733eacf17e05a7428ce29&amp;qlt=95" TargetMode="External"/><Relationship Id="rId2" Type="http://schemas.openxmlformats.org/officeDocument/2006/relationships/hyperlink" Target="https://www.bing.com/images/search?form=xlimg&amp;q=Alberta" TargetMode="External"/><Relationship Id="rId16" Type="http://schemas.openxmlformats.org/officeDocument/2006/relationships/hyperlink" Target="https://www.bing.com/images/search?form=xlimg&amp;q=Prince%20Edward%20Island" TargetMode="External"/><Relationship Id="rId20" Type="http://schemas.openxmlformats.org/officeDocument/2006/relationships/hyperlink" Target="https://www.bing.com/images/search?form=xlimg&amp;q=Saskatchewan" TargetMode="External"/><Relationship Id="rId1" Type="http://schemas.openxmlformats.org/officeDocument/2006/relationships/hyperlink" Target="https://www.bing.com/th?id=OSK.88e0f1ede967e20cdb323ddc519173a1&amp;qlt=95" TargetMode="External"/><Relationship Id="rId6" Type="http://schemas.openxmlformats.org/officeDocument/2006/relationships/hyperlink" Target="https://www.bing.com/images/search?form=xlimg&amp;q=Manitoba" TargetMode="External"/><Relationship Id="rId11" Type="http://schemas.openxmlformats.org/officeDocument/2006/relationships/hyperlink" Target="https://www.bing.com/th?id=OSK.41ac4772e7721f39e07f911451339e24&amp;qlt=95" TargetMode="External"/><Relationship Id="rId5" Type="http://schemas.openxmlformats.org/officeDocument/2006/relationships/hyperlink" Target="https://www.bing.com/th?id=OSK.e82bb3a8f24b0befb6aeba7aa4d4550d&amp;qlt=95" TargetMode="External"/><Relationship Id="rId15" Type="http://schemas.openxmlformats.org/officeDocument/2006/relationships/hyperlink" Target="https://www.bing.com/th?id=OSK.732ff7245b405c8cd0477672ca1ad30e&amp;qlt=95" TargetMode="External"/><Relationship Id="rId10" Type="http://schemas.openxmlformats.org/officeDocument/2006/relationships/hyperlink" Target="https://www.bing.com/images/search?form=xlimg&amp;q=Newfoundland%20and%20Labrador" TargetMode="External"/><Relationship Id="rId19" Type="http://schemas.openxmlformats.org/officeDocument/2006/relationships/hyperlink" Target="https://www.bing.com/th?id=OSK.f70644ddf0c98788460fab194e5527a7&amp;qlt=95" TargetMode="External"/><Relationship Id="rId4" Type="http://schemas.openxmlformats.org/officeDocument/2006/relationships/hyperlink" Target="https://www.bing.com/images/search?form=xlimg&amp;q=British%20Columbia" TargetMode="External"/><Relationship Id="rId9" Type="http://schemas.openxmlformats.org/officeDocument/2006/relationships/hyperlink" Target="https://www.bing.com/th?id=OSK.fd0f65ba52ac44d6e962535f3eb94de6&amp;qlt=95" TargetMode="External"/><Relationship Id="rId14" Type="http://schemas.openxmlformats.org/officeDocument/2006/relationships/hyperlink" Target="https://www.bing.com/images/search?form=xlimg&amp;q=Ontario"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Srd>
</file>

<file path=xl/richData/rdarray.xml><?xml version="1.0" encoding="utf-8"?>
<arrayData xmlns="http://schemas.microsoft.com/office/spreadsheetml/2017/richdata2" count="24">
  <a r="2">
    <v t="r">9</v>
    <v t="r">10</v>
  </a>
  <a r="1">
    <v t="s">English</v>
  </a>
  <a r="1">
    <v t="s">Mountain Time Zone</v>
  </a>
  <a r="2">
    <v t="r">27</v>
    <v t="r">28</v>
  </a>
  <a r="1">
    <v t="s">English language</v>
  </a>
  <a r="2">
    <v t="s">Pacific Time Zone</v>
    <v t="s">Mountain Time Zone</v>
  </a>
  <a r="2">
    <v t="r">43</v>
    <v t="r">44</v>
  </a>
  <a r="1">
    <v t="s">Central Time Zone</v>
  </a>
  <a r="2">
    <v t="r">60</v>
    <v t="r">61</v>
  </a>
  <a r="2">
    <v t="s">English</v>
    <v t="s">French</v>
  </a>
  <a r="1">
    <v t="s">Atlantic Time Zone</v>
  </a>
  <a r="2">
    <v t="r">77</v>
    <v t="r">78</v>
  </a>
  <a r="2">
    <v t="s">Newfoundland Standard time</v>
    <v t="s">Atlantic Time Zone</v>
  </a>
  <a r="2">
    <v t="r">91</v>
    <v t="r">92</v>
  </a>
  <a r="3">
    <v t="s">English</v>
    <v t="s">Canadian French</v>
    <v t="s">Canadian Gaelic</v>
  </a>
  <a r="2">
    <v t="r">106</v>
    <v t="r">107</v>
  </a>
  <a r="1">
    <v t="s">Canadian English</v>
  </a>
  <a r="2">
    <v t="s">Eastern Time Zone</v>
    <v t="s">Central Time Zone</v>
  </a>
  <a r="2">
    <v t="r">122</v>
    <v t="r">123</v>
  </a>
  <a r="2">
    <v t="r">137</v>
    <v t="r">138</v>
  </a>
  <a r="1">
    <v t="s">Quebec French</v>
  </a>
  <a r="2">
    <v t="s">Eastern Time Zone</v>
    <v t="s">Atlantic Time Zone</v>
  </a>
  <a r="2">
    <v t="r">154</v>
    <v t="r">155</v>
  </a>
  <a r="2">
    <v t="s">Mountain Time Zone</v>
    <v t="s">Central Time Zone</v>
  </a>
</arrayData>
</file>

<file path=xl/richData/rdrichvalue.xml><?xml version="1.0" encoding="utf-8"?>
<rvData xmlns="http://schemas.microsoft.com/office/spreadsheetml/2017/richdata" count="162">
  <rv s="0">
    <v>536870912</v>
    <v>Alberta</v>
    <v>ac4b7d59-c4be-889f-9a45-7e7c524794ec</v>
    <v>en-CA</v>
    <v>Map</v>
  </rv>
  <rv s="1">
    <fb>661848</fb>
    <v>11</v>
  </rv>
  <rv s="1">
    <fb>824632</fb>
    <v>11</v>
  </rv>
  <rv s="0">
    <v>536870912</v>
    <v>Edmonton</v>
    <v>cdbd2c0f-d425-d6df-76e9-e304f01710fd</v>
    <v>en-CA</v>
    <v>Map</v>
  </rv>
  <rv s="0">
    <v>536870912</v>
    <v>Canada</v>
    <v>370ed614-32e1-4326-a356-dc0a7dd56aaa</v>
    <v>en-CA</v>
    <v>Map</v>
  </rv>
  <rv s="1">
    <fb>1527680</fb>
    <v>11</v>
  </rv>
  <rv s="1">
    <fb>1527678</fb>
    <v>11</v>
  </rv>
  <rv s="2">
    <v>0</v>
    <v>9</v>
    <v>0</v>
    <v>7</v>
    <v>0</v>
    <v>Image of Alberta</v>
  </rv>
  <rv s="0">
    <v>536870912</v>
    <v>Calgary</v>
    <v>8cb52ce0-e63a-0445-3e20-39d4b6e97810</v>
    <v>en-CA</v>
    <v>Map</v>
  </rv>
  <rv s="0">
    <v>805306368</v>
    <v>Salma Lakhani (Lieutenant governor)</v>
    <v>c30e4747-bdee-8501-1474-a912346ca072</v>
    <v>en-CA</v>
    <v>Generic</v>
  </rv>
  <rv s="0">
    <v>805306368</v>
    <v>Danielle Smith (Premier)</v>
    <v>de79802a-f137-786c-bf2b-e9454d47ed27</v>
    <v>en-CA</v>
    <v>Generic</v>
  </rv>
  <rv s="3">
    <v>0</v>
  </rv>
  <rv s="4">
    <v>https://www.bing.com/search?q=alberta+canada&amp;form=skydnc</v>
    <v>Learn more on Bing</v>
  </rv>
  <rv s="1">
    <fb>96470</fb>
    <v>12</v>
  </rv>
  <rv s="3">
    <v>1</v>
  </rv>
  <rv s="1">
    <fb>2.6</fb>
    <v>13</v>
  </rv>
  <rv s="1">
    <fb>4306039</fb>
    <v>11</v>
  </rv>
  <rv s="3">
    <v>2</v>
  </rv>
  <rv s="5">
    <v>#VALUE!</v>
    <v>en-CA</v>
    <v>ac4b7d59-c4be-889f-9a45-7e7c524794ec</v>
    <v>536870912</v>
    <v>1</v>
    <v>4</v>
    <v>5</v>
    <v>Alberta</v>
    <v>7</v>
    <v>8</v>
    <v>Map</v>
    <v>9</v>
    <v>10</v>
    <v>CA-AB</v>
    <v>1</v>
    <v>2</v>
    <v>3</v>
    <v>4</v>
    <v>Alberta is one of the thirteen provinces and territories of Canada. It is a part of Western Canada and is one of the three prairie provinces. Alberta is bordered by British Columbia to the west, Saskatchewan to the east, the Northwest ...</v>
    <v>5</v>
    <v>6</v>
    <v>7</v>
    <v>8</v>
    <v>11</v>
    <v>12</v>
    <v>13</v>
    <v>Alberta</v>
    <v>14</v>
    <v>15</v>
    <v>16</v>
    <v>17</v>
    <v>Alberta</v>
    <v>mdp/vdpid/1076</v>
  </rv>
  <rv s="0">
    <v>536870912</v>
    <v>British Columbia</v>
    <v>32a8fd1c-cd9d-0da9-35fb-f952ed824d4f</v>
    <v>en-CA</v>
    <v>Map</v>
  </rv>
  <rv s="1">
    <fb>944735</fb>
    <v>11</v>
  </rv>
  <rv s="1">
    <fb>1275117</fb>
    <v>11</v>
  </rv>
  <rv s="0">
    <v>536870912</v>
    <v>Victoria</v>
    <v>e71268bc-25c5-d843-53b9-42a670bbb618</v>
    <v>en-CA</v>
    <v>Map</v>
  </rv>
  <rv s="1">
    <fb>1881970</fb>
    <v>11</v>
  </rv>
  <rv s="1">
    <fb>1881969</fb>
    <v>11</v>
  </rv>
  <rv s="2">
    <v>1</v>
    <v>9</v>
    <v>14</v>
    <v>7</v>
    <v>0</v>
    <v>Image of British Columbia</v>
  </rv>
  <rv s="0">
    <v>536870912</v>
    <v>Vancouver</v>
    <v>d9a176fc-df40-2288-f646-b6bf5b7d4a9b</v>
    <v>en-CA</v>
    <v>Map</v>
  </rv>
  <rv s="0">
    <v>805306368</v>
    <v>Janet Austin (Lieutenant governor)</v>
    <v>00767d85-394e-9ddd-6d40-74595689d66b</v>
    <v>en-CA</v>
    <v>Generic</v>
  </rv>
  <rv s="0">
    <v>805306368</v>
    <v>David Eby (Premier)</v>
    <v>adf1311a-a1f3-4623-89f7-c14bb2ba3991</v>
    <v>en-CA</v>
    <v>Generic</v>
  </rv>
  <rv s="3">
    <v>3</v>
  </rv>
  <rv s="4">
    <v>https://www.bing.com/search?q=british+columbia&amp;form=skydnc</v>
    <v>Learn more on Bing</v>
  </rv>
  <rv s="1">
    <fb>81370</fb>
    <v>12</v>
  </rv>
  <rv s="3">
    <v>4</v>
  </rv>
  <rv s="1">
    <fb>2.4</fb>
    <v>13</v>
  </rv>
  <rv s="1">
    <fb>4841078</fb>
    <v>11</v>
  </rv>
  <rv s="3">
    <v>5</v>
  </rv>
  <rv s="5">
    <v>#VALUE!</v>
    <v>en-CA</v>
    <v>32a8fd1c-cd9d-0da9-35fb-f952ed824d4f</v>
    <v>536870912</v>
    <v>1</v>
    <v>18</v>
    <v>5</v>
    <v>British Columbia</v>
    <v>7</v>
    <v>8</v>
    <v>Map</v>
    <v>9</v>
    <v>10</v>
    <v>CA-BC</v>
    <v>20</v>
    <v>21</v>
    <v>22</v>
    <v>4</v>
    <v>British Columbia is the westernmost province of Canada. Situated between the Pacific Ocean and the Rocky Mountains, the province has a diverse geography, with rugged landscapes that include rocky coastlines, sandy beaches, forests, lakes, ...</v>
    <v>23</v>
    <v>24</v>
    <v>25</v>
    <v>26</v>
    <v>29</v>
    <v>30</v>
    <v>31</v>
    <v>British Columbia</v>
    <v>32</v>
    <v>33</v>
    <v>34</v>
    <v>35</v>
    <v>British Columbia</v>
    <v>mdp/vdpid/4934</v>
  </rv>
  <rv s="0">
    <v>536870912</v>
    <v>Manitoba</v>
    <v>21c9c883-dcc4-1490-a815-79c6eb525369</v>
    <v>en-CA</v>
    <v>Map</v>
  </rv>
  <rv s="1">
    <fb>647797</fb>
    <v>11</v>
  </rv>
  <rv s="1">
    <fb>179222</fb>
    <v>11</v>
  </rv>
  <rv s="0">
    <v>536870912</v>
    <v>Winnipeg</v>
    <v>c6d83906-6502-91c0-1d62-5dbd767a4bbf</v>
    <v>en-CA</v>
    <v>Map</v>
  </rv>
  <rv s="1">
    <fb>489050</fb>
    <v>11</v>
  </rv>
  <rv s="2">
    <v>2</v>
    <v>9</v>
    <v>19</v>
    <v>7</v>
    <v>0</v>
    <v>Image of Manitoba</v>
  </rv>
  <rv s="0">
    <v>805306368</v>
    <v>Anita Neville (Lieutenant governor)</v>
    <v>6fec39d8-c729-0f9a-2ff3-8a2a9de48266</v>
    <v>en-CA</v>
    <v>Generic</v>
  </rv>
  <rv s="0">
    <v>805306368</v>
    <v>Wab Kinew (Premier)</v>
    <v>cce53cff-f3d3-4498-8de5-3e9257781dc0</v>
    <v>en-CA</v>
    <v>Generic</v>
  </rv>
  <rv s="3">
    <v>6</v>
  </rv>
  <rv s="4">
    <v>https://www.bing.com/search?q=manitoba&amp;form=skydnc</v>
    <v>Learn more on Bing</v>
  </rv>
  <rv s="1">
    <fb>78110</fb>
    <v>12</v>
  </rv>
  <rv s="1">
    <fb>2.5</fb>
    <v>13</v>
  </rv>
  <rv s="1">
    <fb>1343371</fb>
    <v>11</v>
  </rv>
  <rv s="3">
    <v>7</v>
  </rv>
  <rv s="5">
    <v>#VALUE!</v>
    <v>en-CA</v>
    <v>21c9c883-dcc4-1490-a815-79c6eb525369</v>
    <v>536870912</v>
    <v>1</v>
    <v>23</v>
    <v>5</v>
    <v>Manitoba</v>
    <v>7</v>
    <v>8</v>
    <v>Map</v>
    <v>9</v>
    <v>10</v>
    <v>CA-MB</v>
    <v>38</v>
    <v>39</v>
    <v>40</v>
    <v>4</v>
    <v>Manitoba is a province of Canada at the longitudinal centre of the country. It is Canada's fifth-most populous province, with a population of 1,342,153 as of 2021. Manitoba has a widely varied landscape, from arctic tundra and the Hudson Bay ...</v>
    <v>41</v>
    <v>41</v>
    <v>42</v>
    <v>40</v>
    <v>45</v>
    <v>46</v>
    <v>47</v>
    <v>Manitoba</v>
    <v>32</v>
    <v>48</v>
    <v>49</v>
    <v>50</v>
    <v>Manitoba</v>
    <v>mdp/vdpid/20110</v>
  </rv>
  <rv s="0">
    <v>536870912</v>
    <v>New Brunswick</v>
    <v>ed967bed-da27-9206-2407-d4e698015192</v>
    <v>en-CA</v>
    <v>Map</v>
  </rv>
  <rv s="1">
    <fb>72908</fb>
    <v>11</v>
  </rv>
  <rv s="1">
    <fb>28197</fb>
    <v>11</v>
  </rv>
  <rv s="0">
    <v>536870912</v>
    <v>Fredericton</v>
    <v>f8277c80-664a-fe91-f942-cedf5e0f493d</v>
    <v>en-CA</v>
    <v>Map</v>
  </rv>
  <rv s="1">
    <fb>319770</fb>
    <v>11</v>
  </rv>
  <rv s="1">
    <fb>319773</fb>
    <v>11</v>
  </rv>
  <rv s="2">
    <v>3</v>
    <v>9</v>
    <v>24</v>
    <v>7</v>
    <v>0</v>
    <v>Image of New Brunswick</v>
  </rv>
  <rv s="0">
    <v>536870912</v>
    <v>Moncton</v>
    <v>d55df709-f936-f551-544b-e6d0c1f6ad49</v>
    <v>en-CA</v>
    <v>Map</v>
  </rv>
  <rv s="0">
    <v>805306368</v>
    <v>Brenda Murphy (Lieutenant governor)</v>
    <v>cb955603-9b2b-c47b-e278-f8059d082971</v>
    <v>en-CA</v>
    <v>Generic</v>
  </rv>
  <rv s="0">
    <v>805306368</v>
    <v>Blaine Higgs (Premier)</v>
    <v>40d4a23a-5b0a-e3fc-581d-7887648e5487</v>
    <v>en-CA</v>
    <v>Generic</v>
  </rv>
  <rv s="3">
    <v>8</v>
  </rv>
  <rv s="4">
    <v>https://www.bing.com/search?q=new+brunswick+canada&amp;form=skydnc</v>
    <v>Learn more on Bing</v>
  </rv>
  <rv s="1">
    <fb>72330</fb>
    <v>12</v>
  </rv>
  <rv s="3">
    <v>9</v>
  </rv>
  <rv s="1">
    <fb>2.2999999999999998</fb>
    <v>13</v>
  </rv>
  <rv s="1">
    <fb>760868</fb>
    <v>11</v>
  </rv>
  <rv s="3">
    <v>10</v>
  </rv>
  <rv s="5">
    <v>#VALUE!</v>
    <v>en-CA</v>
    <v>ed967bed-da27-9206-2407-d4e698015192</v>
    <v>536870912</v>
    <v>1</v>
    <v>28</v>
    <v>5</v>
    <v>New Brunswick</v>
    <v>7</v>
    <v>8</v>
    <v>Map</v>
    <v>9</v>
    <v>10</v>
    <v>CA-NB</v>
    <v>53</v>
    <v>54</v>
    <v>55</v>
    <v>4</v>
    <v>New Brunswick is one of the thirteen provinces and territories of Canada. It is one of the three Maritime provinces and one of the four Atlantic provinces. It is the only province with both English and French as its official languages.</v>
    <v>56</v>
    <v>57</v>
    <v>58</v>
    <v>59</v>
    <v>62</v>
    <v>63</v>
    <v>64</v>
    <v>New Brunswick</v>
    <v>65</v>
    <v>66</v>
    <v>67</v>
    <v>68</v>
    <v>New Brunswick</v>
    <v>mdp/vdpid/23074</v>
  </rv>
  <rv s="0">
    <v>536870912</v>
    <v>Newfoundland and Labrador</v>
    <v>895215e2-2c65-6494-fa6a-1f441a39ac4f</v>
    <v>en-CA</v>
    <v>Map</v>
  </rv>
  <rv s="1">
    <fb>405212</fb>
    <v>11</v>
  </rv>
  <rv s="1">
    <fb>43695</fb>
    <v>11</v>
  </rv>
  <rv s="0">
    <v>536870912</v>
    <v>St. John's</v>
    <v>f928b84d-c792-138a-f27b-f9f42af7a47e</v>
    <v>en-CA</v>
    <v>Map</v>
  </rv>
  <rv s="1">
    <fb>218675</fb>
    <v>11</v>
  </rv>
  <rv s="1">
    <fb>218673</fb>
    <v>11</v>
  </rv>
  <rv s="2">
    <v>4</v>
    <v>9</v>
    <v>29</v>
    <v>7</v>
    <v>0</v>
    <v>Image of Newfoundland and Labrador</v>
  </rv>
  <rv s="0">
    <v>805306368</v>
    <v>Joan Marie Aylward (Lieutenant governor)</v>
    <v>66ce73f4-736a-65f8-2bfc-24990e9072fa</v>
    <v>en-CA</v>
    <v>Generic</v>
  </rv>
  <rv s="0">
    <v>805306368</v>
    <v>Andrew Furey (Premier)</v>
    <v>f3c31194-3e7f-8440-f3bc-7d982439dd1e</v>
    <v>en-CA</v>
    <v>Generic</v>
  </rv>
  <rv s="3">
    <v>11</v>
  </rv>
  <rv s="4">
    <v>https://www.bing.com/search?q=newfoundland+and+labrador&amp;form=skydnc</v>
    <v>Learn more on Bing</v>
  </rv>
  <rv s="1">
    <fb>78960</fb>
    <v>12</v>
  </rv>
  <rv s="1">
    <fb>510550</fb>
    <v>11</v>
  </rv>
  <rv s="3">
    <v>12</v>
  </rv>
  <rv s="5">
    <v>#VALUE!</v>
    <v>en-CA</v>
    <v>895215e2-2c65-6494-fa6a-1f441a39ac4f</v>
    <v>536870912</v>
    <v>1</v>
    <v>33</v>
    <v>5</v>
    <v>Newfoundland and Labrador</v>
    <v>7</v>
    <v>8</v>
    <v>Map</v>
    <v>9</v>
    <v>34</v>
    <v>CA-NL</v>
    <v>71</v>
    <v>72</v>
    <v>73</v>
    <v>4</v>
    <v>Newfoundland and Labrador is the easternmost province of Canada, in the country's Atlantic region. The province comprises the island of Newfoundland and the continental region of Labrador, having a total size of 405,212 square kilometres. In ...</v>
    <v>74</v>
    <v>75</v>
    <v>76</v>
    <v>73</v>
    <v>79</v>
    <v>80</v>
    <v>81</v>
    <v>Newfoundland and Labrador</v>
    <v>14</v>
    <v>66</v>
    <v>82</v>
    <v>83</v>
    <v>Newfoundland and Labrador</v>
    <v>mdp/vdpid/23204</v>
  </rv>
  <rv s="0">
    <v>536870912</v>
    <v>Nova Scotia</v>
    <v>baa4aedd-bbb6-989e-cba4-ec2c9bdd906a</v>
    <v>en-CA</v>
    <v>Map</v>
  </rv>
  <rv s="1">
    <fb>55283</fb>
    <v>11</v>
  </rv>
  <rv s="1">
    <fb>64792</fb>
    <v>11</v>
  </rv>
  <rv s="0">
    <v>536870912</v>
    <v>Halifax</v>
    <v>e2ceb648-04df-949d-c24e-15b3bcca0f4d</v>
    <v>en-CA</v>
    <v>Map</v>
  </rv>
  <rv s="1">
    <fb>401990</fb>
    <v>11</v>
  </rv>
  <rv s="2">
    <v>5</v>
    <v>9</v>
    <v>35</v>
    <v>7</v>
    <v>0</v>
    <v>Image of Nova Scotia</v>
  </rv>
  <rv s="0">
    <v>805306368</v>
    <v>Arthur LeBlanc (Lieutenant governor)</v>
    <v>cc7ea11d-575b-9a50-8338-21a331494ee4</v>
    <v>en-CA</v>
    <v>Generic</v>
  </rv>
  <rv s="0">
    <v>805306368</v>
    <v>Tim Houston (Premier)</v>
    <v>5e57ac2c-caaf-af67-0ef4-6898a198db7e</v>
    <v>en-CA</v>
    <v>Generic</v>
  </rv>
  <rv s="3">
    <v>13</v>
  </rv>
  <rv s="4">
    <v>https://www.bing.com/search?q=nova+scotia&amp;form=skydnc</v>
    <v>Learn more on Bing</v>
  </rv>
  <rv s="1">
    <fb>74590</fb>
    <v>12</v>
  </rv>
  <rv s="3">
    <v>14</v>
  </rv>
  <rv s="1">
    <fb>1030953</fb>
    <v>11</v>
  </rv>
  <rv s="5">
    <v>#VALUE!</v>
    <v>en-CA</v>
    <v>baa4aedd-bbb6-989e-cba4-ec2c9bdd906a</v>
    <v>536870912</v>
    <v>1</v>
    <v>39</v>
    <v>5</v>
    <v>Nova Scotia</v>
    <v>7</v>
    <v>8</v>
    <v>Map</v>
    <v>9</v>
    <v>40</v>
    <v>CA-NS</v>
    <v>86</v>
    <v>87</v>
    <v>88</v>
    <v>4</v>
    <v>Nova Scotia is one of the thirteen provinces and territories of Canada. It is one of the three Maritime provinces and one of the four Atlantic provinces. Nova Scotia is Latin for "New Scotland". Most of the population are native ...</v>
    <v>89</v>
    <v>89</v>
    <v>90</v>
    <v>88</v>
    <v>93</v>
    <v>94</v>
    <v>95</v>
    <v>Nova Scotia</v>
    <v>96</v>
    <v>66</v>
    <v>97</v>
    <v>68</v>
    <v>Nova Scotia</v>
    <v>mdp/vdpid/23841</v>
  </rv>
  <rv s="0">
    <v>536870912</v>
    <v>Ontario</v>
    <v>070ad921-224a-9ed5-6fe1-8eab57b4b2e7</v>
    <v>en-CA</v>
    <v>Map</v>
  </rv>
  <rv s="1">
    <fb>1076395</fb>
    <v>11</v>
  </rv>
  <rv s="1">
    <fb>2498691</fb>
    <v>11</v>
  </rv>
  <rv s="0">
    <v>536870912</v>
    <v>Toronto</v>
    <v>e9c1d78f-effd-4cbf-af56-ce709763b200</v>
    <v>en-CA</v>
    <v>Map</v>
  </rv>
  <rv s="1">
    <fb>5169175</fb>
    <v>11</v>
  </rv>
  <rv s="1">
    <fb>5169174</fb>
    <v>11</v>
  </rv>
  <rv s="2">
    <v>6</v>
    <v>9</v>
    <v>41</v>
    <v>7</v>
    <v>0</v>
    <v>Image of Ontario</v>
  </rv>
  <rv s="0">
    <v>805306368</v>
    <v>Edith Dumont (Lieutenant governor)</v>
    <v>37e7af50-0cdf-8d6c-4067-735d25b2838d</v>
    <v>en-CA</v>
    <v>Generic</v>
  </rv>
  <rv s="0">
    <v>805306368</v>
    <v>Doug Ford (Premier)</v>
    <v>a00bb1b1-ce9d-bf65-c540-5e730be40cb9</v>
    <v>en-CA</v>
    <v>Generic</v>
  </rv>
  <rv s="3">
    <v>15</v>
  </rv>
  <rv s="4">
    <v>https://www.bing.com/search?q=ontario+canada&amp;form=skydnc</v>
    <v>Learn more on Bing</v>
  </rv>
  <rv s="1">
    <fb>83160</fb>
    <v>12</v>
  </rv>
  <rv s="3">
    <v>16</v>
  </rv>
  <rv s="1">
    <fb>14733119</fb>
    <v>11</v>
  </rv>
  <rv s="3">
    <v>17</v>
  </rv>
  <rv s="5">
    <v>#VALUE!</v>
    <v>en-CA</v>
    <v>070ad921-224a-9ed5-6fe1-8eab57b4b2e7</v>
    <v>536870912</v>
    <v>1</v>
    <v>44</v>
    <v>5</v>
    <v>Ontario</v>
    <v>7</v>
    <v>8</v>
    <v>Map</v>
    <v>9</v>
    <v>45</v>
    <v>CA-ON</v>
    <v>100</v>
    <v>101</v>
    <v>102</v>
    <v>4</v>
    <v>Ontario is one of the thirteen provinces and territories of Canada. Located in Central Canada, Ontario is the country's most populous province. As of the 2021 Canadian census, it is home to 38.5 percent of the country's population, and is the ...</v>
    <v>103</v>
    <v>104</v>
    <v>105</v>
    <v>102</v>
    <v>108</v>
    <v>109</v>
    <v>110</v>
    <v>Ontario</v>
    <v>111</v>
    <v>15</v>
    <v>112</v>
    <v>113</v>
    <v>Ontario</v>
    <v>mdp/vdpid/24465</v>
  </rv>
  <rv s="0">
    <v>536870912</v>
    <v>Prince Edward Island</v>
    <v>4e4aadcb-4928-0762-e307-bc01ba8f3dfb</v>
    <v>en-CA</v>
    <v>Map</v>
  </rv>
  <rv s="1">
    <fb>5620</fb>
    <v>11</v>
  </rv>
  <rv s="1">
    <fb>13647</fb>
    <v>11</v>
  </rv>
  <rv s="0">
    <v>536870912</v>
    <v>Charlottetown</v>
    <v>a71f3152-8816-b77c-a9e5-8e3397eac472</v>
    <v>en-CA</v>
    <v>Map</v>
  </rv>
  <rv s="1">
    <fb>59470</fb>
    <v>11</v>
  </rv>
  <rv s="1">
    <fb>59472</fb>
    <v>11</v>
  </rv>
  <rv s="2">
    <v>7</v>
    <v>9</v>
    <v>46</v>
    <v>7</v>
    <v>0</v>
    <v>Image of Prince Edward Island</v>
  </rv>
  <rv s="0">
    <v>805306368</v>
    <v>Antoinette Perry (Lieutenant governor)</v>
    <v>924df195-4cb7-b469-984a-16b4a98e3efc</v>
    <v>en-CA</v>
    <v>Generic</v>
  </rv>
  <rv s="0">
    <v>805306368</v>
    <v>Dennis King (Premier)</v>
    <v>1e1750d1-614d-6828-4c0d-fe656a7ceb25</v>
    <v>en-CA</v>
    <v>Generic</v>
  </rv>
  <rv s="3">
    <v>18</v>
  </rv>
  <rv s="4">
    <v>https://www.bing.com/search?q=prince+edward+island+canada&amp;form=skydnc</v>
    <v>Learn more on Bing</v>
  </rv>
  <rv s="1">
    <fb>75090</fb>
    <v>12</v>
  </rv>
  <rv s="1">
    <fb>152784</fb>
    <v>11</v>
  </rv>
  <rv s="5">
    <v>#VALUE!</v>
    <v>en-CA</v>
    <v>4e4aadcb-4928-0762-e307-bc01ba8f3dfb</v>
    <v>536870912</v>
    <v>1</v>
    <v>50</v>
    <v>5</v>
    <v>Prince Edward Island</v>
    <v>7</v>
    <v>8</v>
    <v>Map</v>
    <v>9</v>
    <v>10</v>
    <v>CA-PE</v>
    <v>116</v>
    <v>117</v>
    <v>118</v>
    <v>4</v>
    <v>Prince Edward Island is one of the thirteen provinces and territories of Canada. While it is the smallest province in terms of land area and population, it is the most densely populated. The island has several nicknames: "Garden of the Gulf", ...</v>
    <v>119</v>
    <v>120</v>
    <v>121</v>
    <v>118</v>
    <v>124</v>
    <v>125</v>
    <v>126</v>
    <v>Prince Edward Island</v>
    <v>32</v>
    <v>66</v>
    <v>127</v>
    <v>68</v>
    <v>Prince Edward Island</v>
    <v>mdp/vdpid/26704</v>
  </rv>
  <rv s="0">
    <v>536870912</v>
    <v>Quebec</v>
    <v>32da1fe8-6bb5-f40e-e008-82becf7ef390</v>
    <v>en-CA</v>
    <v>Map</v>
  </rv>
  <rv s="1">
    <fb>1542056</fb>
    <v>11</v>
  </rv>
  <rv s="1">
    <fb>1049386</fb>
    <v>11</v>
  </rv>
  <rv s="0">
    <v>536870912</v>
    <v>Quebec City</v>
    <v>8a8e64f6-510b-8816-6d69-6b5a37c533d8</v>
    <v>en-CA</v>
    <v>Map</v>
  </rv>
  <rv s="1">
    <fb>3531660</fb>
    <v>11</v>
  </rv>
  <rv s="1">
    <fb>3531663</fb>
    <v>11</v>
  </rv>
  <rv s="2">
    <v>8</v>
    <v>9</v>
    <v>51</v>
    <v>7</v>
    <v>0</v>
    <v>Image of Quebec</v>
  </rv>
  <rv s="0">
    <v>536870912</v>
    <v>Montreal</v>
    <v>bf31f6ec-acd1-2e01-932b-c5c78c45d051</v>
    <v>en-CA</v>
    <v>Map</v>
  </rv>
  <rv s="0">
    <v>805306368</v>
    <v>J. Michel Doyon (Lieutenant governor)</v>
    <v>8a85fa42-95f9-ae56-37e6-eb632bbed3cd</v>
    <v>en-CA</v>
    <v>Generic</v>
  </rv>
  <rv s="0">
    <v>805306368</v>
    <v>François Legault (Premier)</v>
    <v>25235afc-3969-c14e-9e7f-0bcb0c65d62a</v>
    <v>en-CA</v>
    <v>Generic</v>
  </rv>
  <rv s="3">
    <v>19</v>
  </rv>
  <rv s="4">
    <v>https://www.bing.com/search?q=quebec+canada&amp;form=skydnc</v>
    <v>Learn more on Bing</v>
  </rv>
  <rv s="1">
    <fb>77670</fb>
    <v>12</v>
  </rv>
  <rv s="3">
    <v>20</v>
  </rv>
  <rv s="1">
    <fb>8501833</fb>
    <v>11</v>
  </rv>
  <rv s="3">
    <v>21</v>
  </rv>
  <rv s="5">
    <v>#VALUE!</v>
    <v>en-CA</v>
    <v>32da1fe8-6bb5-f40e-e008-82becf7ef390</v>
    <v>536870912</v>
    <v>1</v>
    <v>54</v>
    <v>5</v>
    <v>Quebec</v>
    <v>7</v>
    <v>8</v>
    <v>Map</v>
    <v>9</v>
    <v>34</v>
    <v>CA-QC</v>
    <v>130</v>
    <v>131</v>
    <v>132</v>
    <v>4</v>
    <v>Quebec is one of the thirteen provinces and territories of Canada. It is the largest province by area and the second-largest by population. Much of the population of Quebec lives in urban areas along the St. Lawrence River, between its most ...</v>
    <v>133</v>
    <v>134</v>
    <v>135</v>
    <v>136</v>
    <v>139</v>
    <v>140</v>
    <v>141</v>
    <v>Quebec</v>
    <v>142</v>
    <v>66</v>
    <v>143</v>
    <v>144</v>
    <v>Quebec</v>
    <v>mdp/vdpid/27068</v>
  </rv>
  <rv s="0">
    <v>536870912</v>
    <v>Saskatchewan</v>
    <v>ec7108bb-bd34-c969-f3f2-2a9eed70102e</v>
    <v>en-CA</v>
    <v>Map</v>
  </rv>
  <rv s="1">
    <fb>651900</fb>
    <v>11</v>
  </rv>
  <rv s="1">
    <fb>174998</fb>
    <v>11</v>
  </rv>
  <rv s="0">
    <v>536870912</v>
    <v>Regina</v>
    <v>0937de1e-ca75-1989-ae63-6f754c1e84a4</v>
    <v>en-CA</v>
    <v>Map</v>
  </rv>
  <rv s="1">
    <fb>432620</fb>
    <v>11</v>
  </rv>
  <rv s="1">
    <fb>432622</fb>
    <v>11</v>
  </rv>
  <rv s="2">
    <v>9</v>
    <v>9</v>
    <v>55</v>
    <v>7</v>
    <v>0</v>
    <v>Image of Saskatchewan</v>
  </rv>
  <rv s="0">
    <v>536870912</v>
    <v>Saskatoon</v>
    <v>f9cbf080-4c2a-523d-34c7-8198e3a2b51c</v>
    <v>en-CA</v>
    <v>Map</v>
  </rv>
  <rv s="0">
    <v>805306368</v>
    <v>Russell Mirasty (Lieutenant governor)</v>
    <v>b8347ea0-014e-d9c0-25af-22341a86cbef</v>
    <v>en-CA</v>
    <v>Generic</v>
  </rv>
  <rv s="0">
    <v>805306368</v>
    <v>Scott Moe (Premier)</v>
    <v>2b08c9e9-7cf8-40f6-f38e-c0b7e98d6d2a</v>
    <v>en-CA</v>
    <v>Generic</v>
  </rv>
  <rv s="3">
    <v>22</v>
  </rv>
  <rv s="4">
    <v>https://www.bing.com/search?q=saskatchewan&amp;form=skydnc</v>
    <v>Learn more on Bing</v>
  </rv>
  <rv s="1">
    <fb>85820</fb>
    <v>12</v>
  </rv>
  <rv s="1">
    <fb>1168057</fb>
    <v>11</v>
  </rv>
  <rv s="3">
    <v>23</v>
  </rv>
  <rv s="5">
    <v>#VALUE!</v>
    <v>en-CA</v>
    <v>ec7108bb-bd34-c969-f3f2-2a9eed70102e</v>
    <v>536870912</v>
    <v>1</v>
    <v>59</v>
    <v>5</v>
    <v>Saskatchewan</v>
    <v>7</v>
    <v>8</v>
    <v>Map</v>
    <v>9</v>
    <v>10</v>
    <v>CA-SK</v>
    <v>147</v>
    <v>148</v>
    <v>149</v>
    <v>4</v>
    <v>Saskatchewan is a province in Western Canada, bordered on the west by Alberta, on the north by the Northwest Territories, on the east by Manitoba, to the northeast by Nunavut, and on the south by the United States. Saskatchewan and Alberta are ...</v>
    <v>150</v>
    <v>151</v>
    <v>152</v>
    <v>153</v>
    <v>156</v>
    <v>157</v>
    <v>158</v>
    <v>Saskatchewan</v>
    <v>32</v>
    <v>48</v>
    <v>159</v>
    <v>160</v>
    <v>Saskatchewan</v>
    <v>mdp/vdpid/29926</v>
  </rv>
</rvData>
</file>

<file path=xl/richData/rdrichvaluestructure.xml><?xml version="1.0" encoding="utf-8"?>
<rvStructures xmlns="http://schemas.microsoft.com/office/spreadsheetml/2017/richdata" count="6">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household income" t="r"/>
    <k n="Name" t="s"/>
    <k n="Official language" t="r"/>
    <k n="Persons per household" t="r"/>
    <k n="Population" t="r"/>
    <k n="Time zone(s)" t="r"/>
    <k n="UniqueName" t="s"/>
    <k n="VDPID/VSID" t="s"/>
  </s>
</rvStructures>
</file>

<file path=xl/richData/rdsupportingpropertybag.xml><?xml version="1.0" encoding="utf-8"?>
<supportingPropertyBags xmlns="http://schemas.microsoft.com/office/spreadsheetml/2017/richdata2">
  <spbArrays count="1">
    <a count="32">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Median household income</v>
      <v t="s">Building permits</v>
      <v t="s">Time zone(s)</v>
      <v t="s">_Flags</v>
      <v t="s">VDPID/VSID</v>
      <v t="s">UniqueName</v>
      <v t="s">_DisplayString</v>
      <v t="s">LearnMoreOnLink</v>
      <v t="s">Image</v>
      <v t="s">Description</v>
    </a>
  </spbArrays>
  <spbData count="60">
    <spb s="0">
      <v xml:space="preserve">Wikipedia	</v>
      <v xml:space="preserve">CC BY-SA 3.0	</v>
      <v xml:space="preserve">https://en.wikipedia.org/wiki/Alberta	</v>
      <v xml:space="preserve">https://creativecommons.org/licenses/by-sa/3.0	</v>
    </spb>
    <spb s="0">
      <v xml:space="preserve">Wikipedia	</v>
      <v xml:space="preserve">CC-BY-SA	</v>
      <v xml:space="preserve">https://en.wikipedia.org/wiki/Alberta	</v>
      <v xml:space="preserve">http://creativecommons.org/licenses/by-sa/3.0/	</v>
    </spb>
    <spb s="0">
      <v xml:space="preserve">Wikipedia	</v>
      <v xml:space="preserve">CC-BY-SA	</v>
      <v xml:space="preserve">http://en.wikipedia.org/wiki/Alberta	</v>
      <v xml:space="preserve">http://creativecommons.org/licenses/by-sa/3.0/	</v>
    </spb>
    <spb s="0">
      <v xml:space="preserve">Wikipedia	Wikipedia	</v>
      <v xml:space="preserve">CC-BY-SA	CC-BY-SA	</v>
      <v xml:space="preserve">http://en.wikipedia.org/wiki/Alberta	https://en.wikipedia.org/wiki/Alberta	</v>
      <v xml:space="preserve">http://creativecommons.org/licenses/by-sa/3.0/	http://creativecommons.org/licenses/by-sa/3.0/	</v>
    </spb>
    <spb s="1">
      <v>0</v>
      <v>0</v>
      <v>1</v>
      <v>0</v>
      <v>0</v>
      <v>0</v>
      <v>2</v>
      <v>0</v>
      <v>1</v>
      <v>0</v>
      <v>1</v>
      <v>0</v>
      <v>1</v>
      <v>3</v>
    </spb>
    <spb s="2">
      <v>0</v>
      <v>Name</v>
      <v>LearnMoreOnLink</v>
    </spb>
    <spb s="3">
      <v>0</v>
      <v>0</v>
      <v>0</v>
    </spb>
    <spb s="4">
      <v>6</v>
      <v>6</v>
      <v>6</v>
    </spb>
    <spb s="5">
      <v>1</v>
      <v>2</v>
    </spb>
    <spb s="6">
      <v>https://www.bing.com</v>
      <v>https://www.bing.com/th?id=Ga%5Cbing_yt.png&amp;w=100&amp;h=40&amp;c=0&amp;pid=0.1</v>
      <v>Powered by Bing</v>
    </spb>
    <spb s="7">
      <v>square km</v>
      <v>2016</v>
      <v>2017</v>
      <v>2016</v>
      <v>2017-12</v>
      <v>2016</v>
      <v>2016</v>
    </spb>
    <spb s="8">
      <v>3</v>
    </spb>
    <spb s="8">
      <v>4</v>
    </spb>
    <spb s="8">
      <v>5</v>
    </spb>
    <spb s="0">
      <v xml:space="preserve">Wikipedia	</v>
      <v xml:space="preserve">CC BY-SA 3.0	</v>
      <v xml:space="preserve">https://en.wikipedia.org/wiki/British_Columbia	</v>
      <v xml:space="preserve">https://creativecommons.org/licenses/by-sa/3.0	</v>
    </spb>
    <spb s="0">
      <v xml:space="preserve">www150.statcan.gc.ca	</v>
      <v xml:space="preserve">	</v>
      <v xml:space="preserve">https://www150.statcan.gc.ca/t1/tbl1/en/tv.action?pid=3410000301	</v>
      <v xml:space="preserve">	</v>
    </spb>
    <spb s="0">
      <v xml:space="preserve">Wikipedia	</v>
      <v xml:space="preserve">CC-BY-SA	</v>
      <v xml:space="preserve">http://en.wikipedia.org/wiki/British_Columbia	</v>
      <v xml:space="preserve">http://creativecommons.org/licenses/by-sa/3.0/	</v>
    </spb>
    <spb s="0">
      <v xml:space="preserve">Wikipedia	www150.statcan.gc.ca	</v>
      <v xml:space="preserve">CC-BY-SA		</v>
      <v xml:space="preserve">http://en.wikipedia.org/wiki/British_Columbia	https://www150.statcan.gc.ca/t1/tbl1/en/tv.action?pid=3410000301	</v>
      <v xml:space="preserve">http://creativecommons.org/licenses/by-sa/3.0/		</v>
    </spb>
    <spb s="1">
      <v>14</v>
      <v>14</v>
      <v>15</v>
      <v>14</v>
      <v>14</v>
      <v>14</v>
      <v>16</v>
      <v>14</v>
      <v>15</v>
      <v>14</v>
      <v>15</v>
      <v>14</v>
      <v>15</v>
      <v>17</v>
    </spb>
    <spb s="0">
      <v xml:space="preserve">Wikipedia	</v>
      <v xml:space="preserve">CC BY-SA 3.0	</v>
      <v xml:space="preserve">https://en.wikipedia.org/wiki/Manitoba	</v>
      <v xml:space="preserve">https://creativecommons.org/licenses/by-sa/3.0	</v>
    </spb>
    <spb s="0">
      <v xml:space="preserve">Wikipedia	</v>
      <v xml:space="preserve">CC-BY-SA	</v>
      <v xml:space="preserve">https://en.wikipedia.org/wiki/Manitoba	</v>
      <v xml:space="preserve">http://creativecommons.org/licenses/by-sa/3.0/	</v>
    </spb>
    <spb s="0">
      <v xml:space="preserve">Wikipedia	</v>
      <v xml:space="preserve">CC-BY-SA	</v>
      <v xml:space="preserve">http://en.wikipedia.org/wiki/Manitoba	</v>
      <v xml:space="preserve">http://creativecommons.org/licenses/by-sa/3.0/	</v>
    </spb>
    <spb s="0">
      <v xml:space="preserve">Wikipedia	Wikipedia	</v>
      <v xml:space="preserve">CC-BY-SA	CC-BY-SA	</v>
      <v xml:space="preserve">http://en.wikipedia.org/wiki/Manitoba	https://en.wikipedia.org/wiki/Manitoba	</v>
      <v xml:space="preserve">http://creativecommons.org/licenses/by-sa/3.0/	http://creativecommons.org/licenses/by-sa/3.0/	</v>
    </spb>
    <spb s="1">
      <v>19</v>
      <v>19</v>
      <v>20</v>
      <v>19</v>
      <v>19</v>
      <v>19</v>
      <v>21</v>
      <v>19</v>
      <v>20</v>
      <v>19</v>
      <v>20</v>
      <v>19</v>
      <v>20</v>
      <v>22</v>
    </spb>
    <spb s="0">
      <v xml:space="preserve">Wikipedia	</v>
      <v xml:space="preserve">CC BY-SA 3.0	</v>
      <v xml:space="preserve">https://en.wikipedia.org/wiki/New_Brunswick	</v>
      <v xml:space="preserve">https://creativecommons.org/licenses/by-sa/3.0	</v>
    </spb>
    <spb s="0">
      <v xml:space="preserve">Wikipedia	</v>
      <v xml:space="preserve">CC-BY-SA	</v>
      <v xml:space="preserve">https://en.wikipedia.org/wiki/New_Brunswick	</v>
      <v xml:space="preserve">http://creativecommons.org/licenses/by-sa/3.0/	</v>
    </spb>
    <spb s="0">
      <v xml:space="preserve">Wikipedia	</v>
      <v xml:space="preserve">CC-BY-SA	</v>
      <v xml:space="preserve">http://en.wikipedia.org/wiki/New_Brunswick	</v>
      <v xml:space="preserve">http://creativecommons.org/licenses/by-sa/3.0/	</v>
    </spb>
    <spb s="0">
      <v xml:space="preserve">Wikipedia	Wikipedia	</v>
      <v xml:space="preserve">CC-BY-SA	CC-BY-SA	</v>
      <v xml:space="preserve">http://en.wikipedia.org/wiki/New_Brunswick	https://en.wikipedia.org/wiki/New_Brunswick	</v>
      <v xml:space="preserve">http://creativecommons.org/licenses/by-sa/3.0/	http://creativecommons.org/licenses/by-sa/3.0/	</v>
    </spb>
    <spb s="1">
      <v>24</v>
      <v>24</v>
      <v>25</v>
      <v>24</v>
      <v>24</v>
      <v>24</v>
      <v>26</v>
      <v>24</v>
      <v>25</v>
      <v>24</v>
      <v>25</v>
      <v>24</v>
      <v>25</v>
      <v>27</v>
    </spb>
    <spb s="0">
      <v xml:space="preserve">Wikipedia	</v>
      <v xml:space="preserve">CC BY-SA 3.0	</v>
      <v xml:space="preserve">https://en.wikipedia.org/wiki/Newfoundland_and_Labrador	</v>
      <v xml:space="preserve">https://creativecommons.org/licenses/by-sa/3.0	</v>
    </spb>
    <spb s="0">
      <v xml:space="preserve">Wikipedia	</v>
      <v xml:space="preserve">CC-BY-SA	</v>
      <v xml:space="preserve">https://en.wikipedia.org/wiki/Newfoundland_and_Labrador	</v>
      <v xml:space="preserve">http://creativecommons.org/licenses/by-sa/3.0/	</v>
    </spb>
    <spb s="0">
      <v xml:space="preserve">Wikipedia	</v>
      <v xml:space="preserve">CC-BY-SA	</v>
      <v xml:space="preserve">http://en.wikipedia.org/wiki/Newfoundland_and_Labrador	</v>
      <v xml:space="preserve">http://creativecommons.org/licenses/by-sa/3.0/	</v>
    </spb>
    <spb s="0">
      <v xml:space="preserve">Wikipedia	Wikipedia	</v>
      <v xml:space="preserve">CC-BY-SA	CC-BY-SA	</v>
      <v xml:space="preserve">http://en.wikipedia.org/wiki/Newfoundland_and_Labrador	https://en.wikipedia.org/wiki/Newfoundland_and_Labrador	</v>
      <v xml:space="preserve">http://creativecommons.org/licenses/by-sa/3.0/	http://creativecommons.org/licenses/by-sa/3.0/	</v>
    </spb>
    <spb s="1">
      <v>29</v>
      <v>29</v>
      <v>30</v>
      <v>29</v>
      <v>29</v>
      <v>29</v>
      <v>31</v>
      <v>29</v>
      <v>30</v>
      <v>29</v>
      <v>30</v>
      <v>29</v>
      <v>30</v>
      <v>32</v>
    </spb>
    <spb s="7">
      <v>square km</v>
      <v>2016</v>
      <v>2021</v>
      <v>2016</v>
      <v>2017-12</v>
      <v>2016</v>
      <v>2016</v>
    </spb>
    <spb s="0">
      <v xml:space="preserve">Wikipedia	</v>
      <v xml:space="preserve">CC BY-SA 3.0	</v>
      <v xml:space="preserve">https://en.wikipedia.org/wiki/Nova_Scotia	</v>
      <v xml:space="preserve">https://creativecommons.org/licenses/by-sa/3.0	</v>
    </spb>
    <spb s="0">
      <v xml:space="preserve">Wikipedia	</v>
      <v xml:space="preserve">CC-BY-SA	</v>
      <v xml:space="preserve">https://en.wikipedia.org/wiki/Nova_Scotia	</v>
      <v xml:space="preserve">http://creativecommons.org/licenses/by-sa/3.0/	</v>
    </spb>
    <spb s="0">
      <v xml:space="preserve">Wikipedia	</v>
      <v xml:space="preserve">CC-BY-SA	</v>
      <v xml:space="preserve">http://en.wikipedia.org/wiki/Nova_Scotia	</v>
      <v xml:space="preserve">http://creativecommons.org/licenses/by-sa/3.0/	</v>
    </spb>
    <spb s="0">
      <v xml:space="preserve">Wikipedia	Wikipedia	</v>
      <v xml:space="preserve">CC-BY-SA	CC-BY-SA	</v>
      <v xml:space="preserve">http://en.wikipedia.org/wiki/Nova_Scotia	https://en.wikipedia.org/wiki/Nova_Scotia	</v>
      <v xml:space="preserve">http://creativecommons.org/licenses/by-sa/3.0/	http://creativecommons.org/licenses/by-sa/3.0/	</v>
    </spb>
    <spb s="1">
      <v>35</v>
      <v>35</v>
      <v>36</v>
      <v>35</v>
      <v>35</v>
      <v>35</v>
      <v>37</v>
      <v>35</v>
      <v>36</v>
      <v>35</v>
      <v>36</v>
      <v>35</v>
      <v>36</v>
      <v>38</v>
    </spb>
    <spb s="7">
      <v>square km</v>
      <v>2016</v>
      <v>2022</v>
      <v>2016</v>
      <v>2017-12</v>
      <v>2016</v>
      <v>2016</v>
    </spb>
    <spb s="0">
      <v xml:space="preserve">Wikipedia	</v>
      <v xml:space="preserve">CC BY-SA 3.0	</v>
      <v xml:space="preserve">https://en.wikipedia.org/wiki/Ontario	</v>
      <v xml:space="preserve">https://creativecommons.org/licenses/by-sa/3.0	</v>
    </spb>
    <spb s="0">
      <v xml:space="preserve">Wikipedia	</v>
      <v xml:space="preserve">CC-BY-SA	</v>
      <v xml:space="preserve">http://en.wikipedia.org/wiki/Ontario	</v>
      <v xml:space="preserve">http://creativecommons.org/licenses/by-sa/3.0/	</v>
    </spb>
    <spb s="0">
      <v xml:space="preserve">Wikipedia	www150.statcan.gc.ca	</v>
      <v xml:space="preserve">CC-BY-SA		</v>
      <v xml:space="preserve">http://en.wikipedia.org/wiki/Ontario	https://www150.statcan.gc.ca/t1/tbl1/en/tv.action?pid=3410000301	</v>
      <v xml:space="preserve">http://creativecommons.org/licenses/by-sa/3.0/		</v>
    </spb>
    <spb s="1">
      <v>41</v>
      <v>41</v>
      <v>15</v>
      <v>41</v>
      <v>41</v>
      <v>41</v>
      <v>42</v>
      <v>41</v>
      <v>15</v>
      <v>41</v>
      <v>15</v>
      <v>41</v>
      <v>15</v>
      <v>43</v>
    </spb>
    <spb s="7">
      <v>square km</v>
      <v>2016</v>
      <v>2020</v>
      <v>2016</v>
      <v>2017-12</v>
      <v>2016</v>
      <v>2016</v>
    </spb>
    <spb s="0">
      <v xml:space="preserve">Wikipedia	</v>
      <v xml:space="preserve">CC BY-SA 3.0	</v>
      <v xml:space="preserve">https://en.wikipedia.org/wiki/Prince_Edward_Island	</v>
      <v xml:space="preserve">https://creativecommons.org/licenses/by-sa/3.0	</v>
    </spb>
    <spb s="0">
      <v xml:space="preserve">Wikipedia	</v>
      <v xml:space="preserve">CC-BY-SA	</v>
      <v xml:space="preserve">https://en.wikipedia.org/wiki/Prince_Edward_Island	</v>
      <v xml:space="preserve">http://creativecommons.org/licenses/by-sa/3.0/	</v>
    </spb>
    <spb s="0">
      <v xml:space="preserve">Wikipedia	</v>
      <v xml:space="preserve">CC-BY-SA	</v>
      <v xml:space="preserve">http://en.wikipedia.org/wiki/Prince_Edward_Island	</v>
      <v xml:space="preserve">http://creativecommons.org/licenses/by-sa/3.0/	</v>
    </spb>
    <spb s="0">
      <v xml:space="preserve">Wikipedia	Wikipedia	</v>
      <v xml:space="preserve">CC-BY-SA	CC-BY-SA	</v>
      <v xml:space="preserve">http://en.wikipedia.org/wiki/Prince_Edward_Island	https://en.wikipedia.org/wiki/Prince_Edward_Island	</v>
      <v xml:space="preserve">http://creativecommons.org/licenses/by-sa/3.0/	http://creativecommons.org/licenses/by-sa/3.0/	</v>
    </spb>
    <spb s="1">
      <v>46</v>
      <v>46</v>
      <v>47</v>
      <v>46</v>
      <v>46</v>
      <v>46</v>
      <v>48</v>
      <v>46</v>
      <v>47</v>
      <v>46</v>
      <v>47</v>
      <v>46</v>
      <v>47</v>
      <v>49</v>
    </spb>
    <spb s="0">
      <v xml:space="preserve">Wikipedia	</v>
      <v xml:space="preserve">CC BY-SA 3.0	</v>
      <v xml:space="preserve">https://en.wikipedia.org/wiki/Quebec	</v>
      <v xml:space="preserve">https://creativecommons.org/licenses/by-sa/3.0	</v>
    </spb>
    <spb s="0">
      <v xml:space="preserve">Wikipedia	</v>
      <v xml:space="preserve">CC-BY-SA	</v>
      <v xml:space="preserve">http://en.wikipedia.org/wiki/Quebec	</v>
      <v xml:space="preserve">http://creativecommons.org/licenses/by-sa/3.0/	</v>
    </spb>
    <spb s="0">
      <v xml:space="preserve">Wikipedia	www150.statcan.gc.ca	</v>
      <v xml:space="preserve">CC-BY-SA		</v>
      <v xml:space="preserve">http://en.wikipedia.org/wiki/Quebec	https://www150.statcan.gc.ca/t1/tbl1/en/tv.action?pid=3410000301	</v>
      <v xml:space="preserve">http://creativecommons.org/licenses/by-sa/3.0/		</v>
    </spb>
    <spb s="1">
      <v>51</v>
      <v>51</v>
      <v>15</v>
      <v>51</v>
      <v>51</v>
      <v>51</v>
      <v>52</v>
      <v>51</v>
      <v>15</v>
      <v>51</v>
      <v>15</v>
      <v>51</v>
      <v>15</v>
      <v>53</v>
    </spb>
    <spb s="0">
      <v xml:space="preserve">Wikipedia	</v>
      <v xml:space="preserve">CC BY-SA 3.0	</v>
      <v xml:space="preserve">https://en.wikipedia.org/wiki/Saskatchewan	</v>
      <v xml:space="preserve">https://creativecommons.org/licenses/by-sa/3.0	</v>
    </spb>
    <spb s="0">
      <v xml:space="preserve">Wikipedia	</v>
      <v xml:space="preserve">CC-BY-SA	</v>
      <v xml:space="preserve">https://en.wikipedia.org/wiki/Saskatchewan	</v>
      <v xml:space="preserve">http://creativecommons.org/licenses/by-sa/3.0/	</v>
    </spb>
    <spb s="0">
      <v xml:space="preserve">Wikipedia	</v>
      <v xml:space="preserve">CC-BY-SA	</v>
      <v xml:space="preserve">http://en.wikipedia.org/wiki/Saskatchewan	</v>
      <v xml:space="preserve">http://creativecommons.org/licenses/by-sa/3.0/	</v>
    </spb>
    <spb s="0">
      <v xml:space="preserve">Wikipedia	Wikipedia	</v>
      <v xml:space="preserve">CC-BY-SA	CC-BY-SA	</v>
      <v xml:space="preserve">http://en.wikipedia.org/wiki/Saskatchewan	https://en.wikipedia.org/wiki/Saskatchewan	</v>
      <v xml:space="preserve">http://creativecommons.org/licenses/by-sa/3.0/	http://creativecommons.org/licenses/by-sa/3.0/	</v>
    </spb>
    <spb s="1">
      <v>55</v>
      <v>55</v>
      <v>56</v>
      <v>55</v>
      <v>55</v>
      <v>55</v>
      <v>57</v>
      <v>55</v>
      <v>56</v>
      <v>55</v>
      <v>56</v>
      <v>55</v>
      <v>56</v>
      <v>58</v>
    </spb>
  </spbData>
</supportingPropertyBags>
</file>

<file path=xl/richData/rdsupportingpropertybagstructure.xml><?xml version="1.0" encoding="utf-8"?>
<spbStructures xmlns="http://schemas.microsoft.com/office/spreadsheetml/2017/richdata2" count="9">
  <s>
    <k n="SourceText" t="s"/>
    <k n="LicenseText" t="s"/>
    <k n="SourceAddress" t="s"/>
    <k n="LicenseAddress" t="s"/>
  </s>
  <s>
    <k n="Area" t="spb"/>
    <k n="Name" t="spb"/>
    <k n="Households" t="spb"/>
    <k n="Population" t="spb"/>
    <k n="UniqueName" t="spb"/>
    <k n="Description" t="spb"/>
    <k n="Abbreviation" t="spb"/>
    <k n="Largest city" t="spb"/>
    <k n="Housing units" t="spb"/>
    <k n="Country/region" t="spb"/>
    <k n="Building permits" t="spb"/>
    <k n="Capital/Major City" t="spb"/>
    <k n="Persons per household" t="spb"/>
    <k n="Median household income"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Building permits" t="s"/>
    <k n="Persons per household" t="s"/>
    <k n="Median household income"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3" formatCode="#,##0"/>
    </x:dxf>
    <x:dxf>
      <x:numFmt numFmtId="0" formatCode="General"/>
    </x:dxf>
    <x:dxf>
      <x:numFmt numFmtId="2" formatCode="0.00"/>
    </x:dxf>
  </dxfs>
  <richProperties>
    <rPr n="IsTitleField" t="b"/>
    <rPr n="IsHeroField" t="b"/>
    <rPr n="NumberFormat" t="s"/>
  </richProperties>
  <richStyles>
    <rSty>
      <rpv i="0">1</rpv>
    </rSty>
    <rSty>
      <rpv i="1">1</rpv>
    </rSty>
    <rSty dxfid="0">
      <rpv i="2">#,##0</rpv>
    </rSty>
    <rSty dxfid="1">
      <rpv i="2">_-[$$-en-CA]* #,##0_-;-[$$-en-CA]* #,##0_-;_-[$$-en-CA]* "-"_-;_-@_-</rpv>
    </rSty>
    <rSty dxfid="2">
      <rpv i="2">0.00</rpv>
    </rSty>
  </richStyles>
</richStyleSheet>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B9A9CC-C793-4294-B907-E3233F6D2AE5}" name="customersbyregion10" displayName="customersbyregion10" ref="A1:E42" tableType="queryTable" totalsRowCount="1">
  <autoFilter ref="A1:E41" xr:uid="{74FB4F71-F17D-4D98-994C-0A608DA10032}"/>
  <sortState xmlns:xlrd2="http://schemas.microsoft.com/office/spreadsheetml/2017/richdata2" ref="A2:E41">
    <sortCondition ref="B1:B41"/>
  </sortState>
  <tableColumns count="5">
    <tableColumn id="1" xr3:uid="{75A4B68D-F060-49FF-9CFB-14AF001F61A1}" uniqueName="1" name="year" queryTableFieldId="1"/>
    <tableColumn id="2" xr3:uid="{955692FB-7EBB-4713-97D5-6934283BD5E6}" uniqueName="2" name="state" queryTableFieldId="2" dataDxfId="2"/>
    <tableColumn id="5" xr3:uid="{D8C72810-0CA1-46A7-9643-71F80FEEACC6}" uniqueName="5" name="numCustomers" queryTableFieldId="5"/>
    <tableColumn id="4" xr3:uid="{FDFAD352-637C-4AE2-BEB6-66C312177F32}" uniqueName="4" name="revenue" queryTableFieldId="4" dataDxfId="0" totalsRowDxfId="1"/>
    <tableColumn id="6" xr3:uid="{0E5938BB-8F40-49F5-9E7B-4D0674F73BB0}" uniqueName="6" name="Column1" queryTableFieldId="7"/>
  </tableColumns>
  <tableStyleInfo name="TableStyleMedium7"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2384C-C113-401B-B37B-BB31B845AD2D}">
  <dimension ref="A1:E42"/>
  <sheetViews>
    <sheetView tabSelected="1" zoomScaleNormal="100" workbookViewId="0">
      <selection activeCell="K13" sqref="K13"/>
    </sheetView>
  </sheetViews>
  <sheetFormatPr defaultRowHeight="14" x14ac:dyDescent="0.3"/>
  <cols>
    <col min="1" max="1" width="14.9140625" customWidth="1"/>
    <col min="2" max="2" width="17.25" customWidth="1"/>
    <col min="3" max="3" width="15.9140625" customWidth="1"/>
    <col min="4" max="5" width="10.75" customWidth="1"/>
    <col min="9" max="9" width="8.83203125" customWidth="1"/>
  </cols>
  <sheetData>
    <row r="1" spans="1:5" x14ac:dyDescent="0.3">
      <c r="A1" t="s">
        <v>0</v>
      </c>
      <c r="B1" t="s">
        <v>1</v>
      </c>
      <c r="C1" t="s">
        <v>2</v>
      </c>
      <c r="D1" t="s">
        <v>3</v>
      </c>
      <c r="E1" t="s">
        <v>4</v>
      </c>
    </row>
    <row r="2" spans="1:5" x14ac:dyDescent="0.3">
      <c r="A2">
        <v>2020</v>
      </c>
      <c r="B2" t="e" vm="1">
        <v>#VALUE!</v>
      </c>
      <c r="C2">
        <v>103</v>
      </c>
      <c r="D2" s="1">
        <v>107874.65</v>
      </c>
    </row>
    <row r="3" spans="1:5" x14ac:dyDescent="0.3">
      <c r="A3">
        <v>2021</v>
      </c>
      <c r="B3" t="e" vm="1">
        <v>#VALUE!</v>
      </c>
      <c r="C3">
        <v>126</v>
      </c>
      <c r="D3" s="1">
        <v>129388.94</v>
      </c>
    </row>
    <row r="4" spans="1:5" x14ac:dyDescent="0.3">
      <c r="A4">
        <v>2022</v>
      </c>
      <c r="B4" t="e" vm="1">
        <v>#VALUE!</v>
      </c>
      <c r="C4">
        <v>81</v>
      </c>
      <c r="D4" s="1">
        <v>84504.53</v>
      </c>
    </row>
    <row r="5" spans="1:5" x14ac:dyDescent="0.3">
      <c r="A5">
        <v>2023</v>
      </c>
      <c r="B5" t="e" vm="1">
        <v>#VALUE!</v>
      </c>
      <c r="C5" s="2">
        <f>1.2*81</f>
        <v>97.2</v>
      </c>
      <c r="D5" s="1">
        <f>1.2*92884.93</f>
        <v>111461.91599999998</v>
      </c>
    </row>
    <row r="6" spans="1:5" x14ac:dyDescent="0.3">
      <c r="A6">
        <v>2020</v>
      </c>
      <c r="B6" t="e" vm="2">
        <v>#VALUE!</v>
      </c>
      <c r="C6">
        <v>31</v>
      </c>
      <c r="D6" s="1">
        <v>38275.86</v>
      </c>
    </row>
    <row r="7" spans="1:5" x14ac:dyDescent="0.3">
      <c r="A7">
        <v>2021</v>
      </c>
      <c r="B7" t="e" vm="2">
        <v>#VALUE!</v>
      </c>
      <c r="C7">
        <v>32</v>
      </c>
      <c r="D7" s="1">
        <v>33369.75</v>
      </c>
    </row>
    <row r="8" spans="1:5" x14ac:dyDescent="0.3">
      <c r="A8">
        <v>2022</v>
      </c>
      <c r="B8" t="e" vm="2">
        <v>#VALUE!</v>
      </c>
      <c r="C8">
        <v>21</v>
      </c>
      <c r="D8" s="1">
        <v>18597.88</v>
      </c>
    </row>
    <row r="9" spans="1:5" x14ac:dyDescent="0.3">
      <c r="A9">
        <v>2023</v>
      </c>
      <c r="B9" t="e" vm="2">
        <v>#VALUE!</v>
      </c>
      <c r="C9" s="2">
        <f>1.2*31</f>
        <v>37.199999999999996</v>
      </c>
      <c r="D9" s="1">
        <f>1.2*30186.43</f>
        <v>36223.716</v>
      </c>
    </row>
    <row r="10" spans="1:5" x14ac:dyDescent="0.3">
      <c r="A10">
        <v>2020</v>
      </c>
      <c r="B10" t="e" vm="3">
        <v>#VALUE!</v>
      </c>
      <c r="C10">
        <v>39</v>
      </c>
      <c r="D10" s="1">
        <v>32430.38</v>
      </c>
    </row>
    <row r="11" spans="1:5" x14ac:dyDescent="0.3">
      <c r="A11">
        <v>2021</v>
      </c>
      <c r="B11" t="e" vm="3">
        <v>#VALUE!</v>
      </c>
      <c r="C11">
        <v>70</v>
      </c>
      <c r="D11" s="1">
        <v>70422.490000000005</v>
      </c>
    </row>
    <row r="12" spans="1:5" x14ac:dyDescent="0.3">
      <c r="A12">
        <v>2022</v>
      </c>
      <c r="B12" t="e" vm="3">
        <v>#VALUE!</v>
      </c>
      <c r="C12">
        <v>104</v>
      </c>
      <c r="D12" s="1">
        <v>122508.02</v>
      </c>
    </row>
    <row r="13" spans="1:5" x14ac:dyDescent="0.3">
      <c r="A13">
        <v>2023</v>
      </c>
      <c r="B13" t="e" vm="3">
        <v>#VALUE!</v>
      </c>
      <c r="C13" s="2">
        <f>1.2*56</f>
        <v>67.2</v>
      </c>
      <c r="D13" s="1">
        <f>1.2*54036.03</f>
        <v>64843.235999999997</v>
      </c>
    </row>
    <row r="14" spans="1:5" x14ac:dyDescent="0.3">
      <c r="A14">
        <v>2020</v>
      </c>
      <c r="B14" t="e" vm="4">
        <v>#VALUE!</v>
      </c>
      <c r="C14">
        <v>52</v>
      </c>
      <c r="D14" s="1">
        <v>54677.71</v>
      </c>
    </row>
    <row r="15" spans="1:5" x14ac:dyDescent="0.3">
      <c r="A15">
        <v>2021</v>
      </c>
      <c r="B15" t="e" vm="4">
        <v>#VALUE!</v>
      </c>
      <c r="C15">
        <v>24</v>
      </c>
      <c r="D15" s="1">
        <v>25795.73</v>
      </c>
    </row>
    <row r="16" spans="1:5" x14ac:dyDescent="0.3">
      <c r="A16">
        <v>2022</v>
      </c>
      <c r="B16" t="e" vm="4">
        <v>#VALUE!</v>
      </c>
      <c r="C16">
        <v>31</v>
      </c>
      <c r="D16" s="1">
        <v>42169.79</v>
      </c>
    </row>
    <row r="17" spans="1:4" x14ac:dyDescent="0.3">
      <c r="A17">
        <v>2023</v>
      </c>
      <c r="B17" t="e" vm="4">
        <v>#VALUE!</v>
      </c>
      <c r="C17" s="2">
        <f>1.2*34</f>
        <v>40.799999999999997</v>
      </c>
      <c r="D17" s="1">
        <f>1.2*35214.04</f>
        <v>42256.847999999998</v>
      </c>
    </row>
    <row r="18" spans="1:4" x14ac:dyDescent="0.3">
      <c r="A18">
        <v>2020</v>
      </c>
      <c r="B18" t="e" vm="5">
        <v>#VALUE!</v>
      </c>
      <c r="C18">
        <v>56</v>
      </c>
      <c r="D18" s="1">
        <v>65332.5</v>
      </c>
    </row>
    <row r="19" spans="1:4" x14ac:dyDescent="0.3">
      <c r="A19">
        <v>2021</v>
      </c>
      <c r="B19" t="e" vm="5">
        <v>#VALUE!</v>
      </c>
      <c r="C19">
        <v>60</v>
      </c>
      <c r="D19" s="1">
        <v>71624.36</v>
      </c>
    </row>
    <row r="20" spans="1:4" x14ac:dyDescent="0.3">
      <c r="A20">
        <v>2022</v>
      </c>
      <c r="B20" t="e" vm="5">
        <v>#VALUE!</v>
      </c>
      <c r="C20">
        <v>68</v>
      </c>
      <c r="D20" s="1">
        <v>70661.37</v>
      </c>
    </row>
    <row r="21" spans="1:4" x14ac:dyDescent="0.3">
      <c r="A21">
        <v>2023</v>
      </c>
      <c r="B21" t="e" vm="5">
        <v>#VALUE!</v>
      </c>
      <c r="C21" s="2">
        <f>1.2*63</f>
        <v>75.599999999999994</v>
      </c>
      <c r="D21" s="1">
        <f>1.2*61143.24</f>
        <v>73371.887999999992</v>
      </c>
    </row>
    <row r="22" spans="1:4" x14ac:dyDescent="0.3">
      <c r="A22">
        <v>2020</v>
      </c>
      <c r="B22" t="e" vm="6">
        <v>#VALUE!</v>
      </c>
      <c r="C22">
        <v>82</v>
      </c>
      <c r="D22" s="1">
        <v>87858.38</v>
      </c>
    </row>
    <row r="23" spans="1:4" x14ac:dyDescent="0.3">
      <c r="A23">
        <v>2021</v>
      </c>
      <c r="B23" t="e" vm="6">
        <v>#VALUE!</v>
      </c>
      <c r="C23">
        <v>104</v>
      </c>
      <c r="D23" s="1">
        <v>121721.89</v>
      </c>
    </row>
    <row r="24" spans="1:4" x14ac:dyDescent="0.3">
      <c r="A24">
        <v>2022</v>
      </c>
      <c r="B24" t="e" vm="6">
        <v>#VALUE!</v>
      </c>
      <c r="C24">
        <v>90</v>
      </c>
      <c r="D24" s="1">
        <v>104665.09</v>
      </c>
    </row>
    <row r="25" spans="1:4" x14ac:dyDescent="0.3">
      <c r="A25">
        <v>2023</v>
      </c>
      <c r="B25" t="e" vm="6">
        <v>#VALUE!</v>
      </c>
      <c r="C25" s="2">
        <f>1.2*44</f>
        <v>52.8</v>
      </c>
      <c r="D25" s="1">
        <f>1.2*39760</f>
        <v>47712</v>
      </c>
    </row>
    <row r="26" spans="1:4" x14ac:dyDescent="0.3">
      <c r="A26">
        <v>2020</v>
      </c>
      <c r="B26" t="e" vm="7">
        <v>#VALUE!</v>
      </c>
      <c r="C26">
        <v>32</v>
      </c>
      <c r="D26" s="1">
        <v>29598.82</v>
      </c>
    </row>
    <row r="27" spans="1:4" x14ac:dyDescent="0.3">
      <c r="A27">
        <v>2021</v>
      </c>
      <c r="B27" t="e" vm="7">
        <v>#VALUE!</v>
      </c>
      <c r="C27">
        <v>31</v>
      </c>
      <c r="D27" s="1">
        <v>39533.94</v>
      </c>
    </row>
    <row r="28" spans="1:4" x14ac:dyDescent="0.3">
      <c r="A28">
        <v>2022</v>
      </c>
      <c r="B28" t="e" vm="7">
        <v>#VALUE!</v>
      </c>
      <c r="C28">
        <v>24</v>
      </c>
      <c r="D28" s="1">
        <v>25873.94</v>
      </c>
    </row>
    <row r="29" spans="1:4" x14ac:dyDescent="0.3">
      <c r="A29">
        <v>2023</v>
      </c>
      <c r="B29" t="e" vm="7">
        <v>#VALUE!</v>
      </c>
      <c r="C29" s="2">
        <f>1.2*27</f>
        <v>32.4</v>
      </c>
      <c r="D29" s="1">
        <f>1.2*27815.36</f>
        <v>33378.432000000001</v>
      </c>
    </row>
    <row r="30" spans="1:4" x14ac:dyDescent="0.3">
      <c r="A30">
        <v>2020</v>
      </c>
      <c r="B30" t="e" vm="8">
        <v>#VALUE!</v>
      </c>
      <c r="C30">
        <v>57</v>
      </c>
      <c r="D30" s="1">
        <v>50369.32</v>
      </c>
    </row>
    <row r="31" spans="1:4" x14ac:dyDescent="0.3">
      <c r="A31">
        <v>2021</v>
      </c>
      <c r="B31" t="e" vm="8">
        <v>#VALUE!</v>
      </c>
      <c r="C31">
        <v>87</v>
      </c>
      <c r="D31" s="1">
        <v>90113.32</v>
      </c>
    </row>
    <row r="32" spans="1:4" x14ac:dyDescent="0.3">
      <c r="A32">
        <v>2022</v>
      </c>
      <c r="B32" t="e" vm="8">
        <v>#VALUE!</v>
      </c>
      <c r="C32">
        <v>42</v>
      </c>
      <c r="D32" s="1">
        <v>44909.82</v>
      </c>
    </row>
    <row r="33" spans="1:4" x14ac:dyDescent="0.3">
      <c r="A33">
        <v>2023</v>
      </c>
      <c r="B33" t="e" vm="8">
        <v>#VALUE!</v>
      </c>
      <c r="C33" s="2">
        <f>1.2*56</f>
        <v>67.2</v>
      </c>
      <c r="D33" s="1">
        <f>1.2*66344.4</f>
        <v>79613.279999999984</v>
      </c>
    </row>
    <row r="34" spans="1:4" x14ac:dyDescent="0.3">
      <c r="A34">
        <v>2020</v>
      </c>
      <c r="B34" t="e" vm="9">
        <v>#VALUE!</v>
      </c>
      <c r="C34">
        <v>44</v>
      </c>
      <c r="D34" s="1">
        <v>53720.9</v>
      </c>
    </row>
    <row r="35" spans="1:4" x14ac:dyDescent="0.3">
      <c r="A35">
        <v>2021</v>
      </c>
      <c r="B35" t="e" vm="9">
        <v>#VALUE!</v>
      </c>
      <c r="C35">
        <v>55</v>
      </c>
      <c r="D35" s="1">
        <v>46438.46</v>
      </c>
    </row>
    <row r="36" spans="1:4" x14ac:dyDescent="0.3">
      <c r="A36">
        <v>2022</v>
      </c>
      <c r="B36" t="e" vm="9">
        <v>#VALUE!</v>
      </c>
      <c r="C36">
        <v>69</v>
      </c>
      <c r="D36" s="1">
        <v>76367.009999999995</v>
      </c>
    </row>
    <row r="37" spans="1:4" x14ac:dyDescent="0.3">
      <c r="A37">
        <v>2023</v>
      </c>
      <c r="B37" t="e" vm="9">
        <v>#VALUE!</v>
      </c>
      <c r="C37" s="2">
        <f>1.2*86</f>
        <v>103.2</v>
      </c>
      <c r="D37" s="1">
        <f>1.2*79737.4</f>
        <v>95684.87999999999</v>
      </c>
    </row>
    <row r="38" spans="1:4" x14ac:dyDescent="0.3">
      <c r="A38">
        <v>2020</v>
      </c>
      <c r="B38" t="e" vm="10">
        <v>#VALUE!</v>
      </c>
      <c r="C38">
        <v>92</v>
      </c>
      <c r="D38" s="1">
        <v>97501.09</v>
      </c>
    </row>
    <row r="39" spans="1:4" x14ac:dyDescent="0.3">
      <c r="A39">
        <v>2021</v>
      </c>
      <c r="B39" t="e" vm="10">
        <v>#VALUE!</v>
      </c>
      <c r="C39">
        <v>73</v>
      </c>
      <c r="D39" s="1">
        <v>77365.62</v>
      </c>
    </row>
    <row r="40" spans="1:4" x14ac:dyDescent="0.3">
      <c r="A40">
        <v>2022</v>
      </c>
      <c r="B40" t="e" vm="10">
        <v>#VALUE!</v>
      </c>
      <c r="C40">
        <v>83</v>
      </c>
      <c r="D40" s="1">
        <v>86051.54</v>
      </c>
    </row>
    <row r="41" spans="1:4" x14ac:dyDescent="0.3">
      <c r="A41">
        <v>2023</v>
      </c>
      <c r="B41" t="e" vm="10">
        <v>#VALUE!</v>
      </c>
      <c r="C41" s="2">
        <f>1.2*76</f>
        <v>91.2</v>
      </c>
      <c r="D41" s="1">
        <f>1.2*86208.88</f>
        <v>103450.656</v>
      </c>
    </row>
    <row r="42" spans="1:4" x14ac:dyDescent="0.3">
      <c r="D42"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56516D-23B1-4F01-8288-636386033C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customersbyregion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Rianna Sundlie</dc:creator>
  <cp:lastModifiedBy>Rianna Sundlie</cp:lastModifiedBy>
  <dcterms:created xsi:type="dcterms:W3CDTF">2026-06-21T02:49:48Z</dcterms:created>
  <dcterms:modified xsi:type="dcterms:W3CDTF">2026-06-21T02:51:24Z</dcterms:modified>
</cp:coreProperties>
</file>