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cleaned/"/>
    </mc:Choice>
  </mc:AlternateContent>
  <xr:revisionPtr revIDLastSave="160" documentId="8_{5004363E-68C4-4851-82EC-9A9E0917E2E4}" xr6:coauthVersionLast="47" xr6:coauthVersionMax="47" xr10:uidLastSave="{2F4FDC87-52DA-4145-9D99-13F6F2B11B7B}"/>
  <bookViews>
    <workbookView xWindow="-110" yWindow="-110" windowWidth="21820" windowHeight="13900" xr2:uid="{908AB6A2-FC1C-4D0B-AFB3-A7EA41F4C4B0}"/>
  </bookViews>
  <sheets>
    <sheet name="paymentmethods" sheetId="1" r:id="rId1"/>
  </sheets>
  <definedNames>
    <definedName name="ExternalData_1" localSheetId="0" hidden="1">paymentmethods!$A$1:$C$21</definedName>
  </definedNames>
  <calcPr calcId="191029"/>
  <pivotCaches>
    <pivotCache cacheId="5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C17" i="1"/>
  <c r="C13" i="1"/>
  <c r="C9" i="1"/>
  <c r="C5" i="1"/>
  <c r="C28" i="1" l="1"/>
  <c r="C27" i="1"/>
  <c r="C26" i="1"/>
  <c r="C25" i="1"/>
  <c r="C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01295B-8FD7-46D3-9FA6-E26DFD7504DE}" keepAlive="1" name="Query - paymentmethods" description="Connection to the 'paymentmethods' query in the workbook." type="5" refreshedVersion="8" background="1" saveData="1">
    <dbPr connection="Provider=Microsoft.Mashup.OleDb.1;Data Source=$Workbook$;Location=paymentmethods;Extended Properties=&quot;&quot;" command="SELECT * FROM [paymentmethods]"/>
  </connection>
</connections>
</file>

<file path=xl/sharedStrings.xml><?xml version="1.0" encoding="utf-8"?>
<sst xmlns="http://schemas.openxmlformats.org/spreadsheetml/2006/main" count="41" uniqueCount="12">
  <si>
    <t>year</t>
  </si>
  <si>
    <t>paymentType</t>
  </si>
  <si>
    <t>totalPaymentAmount</t>
  </si>
  <si>
    <t>AMEX</t>
  </si>
  <si>
    <t>ApplePay</t>
  </si>
  <si>
    <t>MC</t>
  </si>
  <si>
    <t>PayPal</t>
  </si>
  <si>
    <t>VISA</t>
  </si>
  <si>
    <t>Sum of totalPaymentAmount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</si>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</sst>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0" fontId="2" fillId="2" borderId="1" xfId="0" applyFont="1" applyFill="1" applyBorder="1"/>
    <xf numFmtId="0" fontId="0" fillId="3" borderId="2" xfId="0" applyFill="1" applyBorder="1"/>
    <xf numFmtId="44" fontId="0" fillId="3" borderId="2" xfId="1" applyFont="1" applyFill="1" applyBorder="1"/>
    <xf numFmtId="0" fontId="0" fillId="0" borderId="2" xfId="0" applyBorder="1"/>
    <xf numFmtId="44" fontId="0" fillId="0" borderId="2" xfId="1" applyFont="1" applyBorder="1"/>
    <xf numFmtId="0" fontId="0" fillId="3" borderId="3" xfId="0" applyFill="1" applyBorder="1"/>
    <xf numFmtId="44" fontId="0" fillId="3" borderId="3" xfId="1" applyFont="1" applyFill="1" applyBorder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nna Sundlie" refreshedDate="46194.565700462961" createdVersion="8" refreshedVersion="8" minRefreshableVersion="3" recordCount="20" xr:uid="{06BA1B6C-F000-46D7-BDF0-2DEC7468D3A8}">
  <cacheSource type="worksheet">
    <worksheetSource name="paymentmethods"/>
  </cacheSource>
  <cacheFields count="3"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paymentType" numFmtId="0">
      <sharedItems count="5">
        <s v="AMEX"/>
        <s v="ApplePay"/>
        <s v="MC"/>
        <s v="PayPal"/>
        <s v="VISA"/>
      </sharedItems>
    </cacheField>
    <cacheField name="totalPaymentAmount" numFmtId="44">
      <sharedItems containsSemiMixedTypes="0" containsString="0" containsNumber="1" minValue="16474.36" maxValue="339138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31748.9"/>
  </r>
  <r>
    <x v="1"/>
    <x v="0"/>
    <n v="36261"/>
  </r>
  <r>
    <x v="2"/>
    <x v="0"/>
    <n v="35080.32"/>
  </r>
  <r>
    <x v="3"/>
    <x v="0"/>
    <n v="18550.2"/>
  </r>
  <r>
    <x v="0"/>
    <x v="1"/>
    <n v="16474.36"/>
  </r>
  <r>
    <x v="1"/>
    <x v="1"/>
    <n v="16706.419999999998"/>
  </r>
  <r>
    <x v="2"/>
    <x v="1"/>
    <n v="41460.5"/>
  </r>
  <r>
    <x v="3"/>
    <x v="1"/>
    <n v="18791.268"/>
  </r>
  <r>
    <x v="0"/>
    <x v="2"/>
    <n v="206010.13"/>
  </r>
  <r>
    <x v="1"/>
    <x v="2"/>
    <n v="213836.72"/>
  </r>
  <r>
    <x v="2"/>
    <x v="2"/>
    <n v="211686.66"/>
  </r>
  <r>
    <x v="3"/>
    <x v="2"/>
    <n v="205731.62399999998"/>
  </r>
  <r>
    <x v="0"/>
    <x v="3"/>
    <n v="37408.81"/>
  </r>
  <r>
    <x v="1"/>
    <x v="3"/>
    <n v="78742.100000000006"/>
  </r>
  <r>
    <x v="2"/>
    <x v="3"/>
    <n v="51534.7"/>
  </r>
  <r>
    <x v="3"/>
    <x v="3"/>
    <n v="54054.731999999996"/>
  </r>
  <r>
    <x v="0"/>
    <x v="4"/>
    <n v="307440.61"/>
  </r>
  <r>
    <x v="1"/>
    <x v="4"/>
    <n v="339138.66"/>
  </r>
  <r>
    <x v="2"/>
    <x v="4"/>
    <n v="315487.59000000003"/>
  </r>
  <r>
    <x v="3"/>
    <x v="4"/>
    <n v="324617.1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AC260-0724-4158-B1A3-E48216BDB785}" name="PivotTable2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18:L24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numFmtId="4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aymentAmount" fld="2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1658A4-AC9C-4C19-A7A5-2DE16B07A1EF}" autoFormatId="16" applyNumberFormats="0" applyBorderFormats="0" applyFontFormats="0" applyPatternFormats="0" applyAlignmentFormats="0" applyWidthHeightFormats="0">
  <queryTableRefresh nextId="7">
    <queryTableFields count="3">
      <queryTableField id="4" name="Column1" tableColumnId="1"/>
      <queryTableField id="2" name="paymentType" tableColumnId="2"/>
      <queryTableField id="5" name="totalPayment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769B7-34E8-4E02-BC8C-D01AD457EE5D}" name="paymentmethods" displayName="paymentmethods" ref="A1:C21" tableType="queryTable" totalsRowShown="0">
  <autoFilter ref="A1:C21" xr:uid="{BCBC4A58-BA61-4E22-A894-35766D649854}"/>
  <sortState xmlns:xlrd2="http://schemas.microsoft.com/office/spreadsheetml/2017/richdata2" ref="A2:C21">
    <sortCondition ref="B1:B21"/>
  </sortState>
  <tableColumns count="3">
    <tableColumn id="1" xr3:uid="{6A4492BE-E5D0-416D-B101-A0BD73748923}" uniqueName="1" name="year" queryTableFieldId="4"/>
    <tableColumn id="2" xr3:uid="{628C6CD3-8482-4986-B17E-FCEEBA12C8DB}" uniqueName="2" name="paymentType" queryTableFieldId="2" dataDxfId="7"/>
    <tableColumn id="3" xr3:uid="{4CD76DCB-0705-4170-BC78-9E21459AC61C}" uniqueName="3" name="totalPaymentAmount" queryTableFieldId="5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9EACC4-7DAB-4E06-8512-E68A2A501490}" name="Table14" displayName="Table14" ref="A23:C28" totalsRowShown="0" headerRowDxfId="6" headerRowBorderDxfId="5" tableBorderDxfId="4" totalsRowBorderDxfId="3">
  <autoFilter ref="A23:C28" xr:uid="{1968D7CD-D19D-47CD-9752-89BA689273CC}"/>
  <tableColumns count="3">
    <tableColumn id="1" xr3:uid="{1F599CF5-A183-428E-965F-C55EB96EB3BD}" name="year" dataDxfId="2"/>
    <tableColumn id="2" xr3:uid="{40675A63-B9B6-465F-ABF5-A1D4613C983A}" name="paymentType" dataDxfId="1"/>
    <tableColumn id="3" xr3:uid="{4EF4ED99-797C-483F-B967-484AF4259BBA}" name="totalPaymentAmount" dataDxfId="0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32CC-CA69-4D67-819C-63DA9F945410}">
  <dimension ref="A1:L28"/>
  <sheetViews>
    <sheetView tabSelected="1" workbookViewId="0">
      <selection activeCell="E5" sqref="E5"/>
    </sheetView>
  </sheetViews>
  <sheetFormatPr defaultRowHeight="14" x14ac:dyDescent="0.3"/>
  <cols>
    <col min="1" max="1" width="10.6640625" customWidth="1"/>
    <col min="2" max="2" width="14.9140625" customWidth="1"/>
    <col min="3" max="3" width="21.75" customWidth="1"/>
    <col min="4" max="4" width="14.5" customWidth="1"/>
    <col min="5" max="5" width="11.75" bestFit="1" customWidth="1"/>
    <col min="6" max="6" width="23.33203125" bestFit="1" customWidth="1"/>
    <col min="7" max="7" width="14.25" bestFit="1" customWidth="1"/>
    <col min="8" max="8" width="10.9140625" bestFit="1" customWidth="1"/>
    <col min="9" max="10" width="11.9140625" bestFit="1" customWidth="1"/>
    <col min="11" max="12" width="13.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2020</v>
      </c>
      <c r="B2" t="s">
        <v>3</v>
      </c>
      <c r="C2" s="1">
        <v>31748.9</v>
      </c>
    </row>
    <row r="3" spans="1:3" x14ac:dyDescent="0.3">
      <c r="A3">
        <v>2021</v>
      </c>
      <c r="B3" t="s">
        <v>3</v>
      </c>
      <c r="C3" s="1">
        <v>36261</v>
      </c>
    </row>
    <row r="4" spans="1:3" x14ac:dyDescent="0.3">
      <c r="A4">
        <v>2022</v>
      </c>
      <c r="B4" t="s">
        <v>3</v>
      </c>
      <c r="C4" s="1">
        <v>35080.32</v>
      </c>
    </row>
    <row r="5" spans="1:3" x14ac:dyDescent="0.3">
      <c r="A5">
        <v>2023</v>
      </c>
      <c r="B5" t="s">
        <v>3</v>
      </c>
      <c r="C5" s="1">
        <f>1.2*15458.5</f>
        <v>18550.2</v>
      </c>
    </row>
    <row r="6" spans="1:3" x14ac:dyDescent="0.3">
      <c r="A6">
        <v>2020</v>
      </c>
      <c r="B6" t="s">
        <v>4</v>
      </c>
      <c r="C6" s="1">
        <v>16474.36</v>
      </c>
    </row>
    <row r="7" spans="1:3" x14ac:dyDescent="0.3">
      <c r="A7">
        <v>2021</v>
      </c>
      <c r="B7" t="s">
        <v>4</v>
      </c>
      <c r="C7" s="1">
        <v>16706.419999999998</v>
      </c>
    </row>
    <row r="8" spans="1:3" x14ac:dyDescent="0.3">
      <c r="A8">
        <v>2022</v>
      </c>
      <c r="B8" t="s">
        <v>4</v>
      </c>
      <c r="C8" s="1">
        <v>41460.5</v>
      </c>
    </row>
    <row r="9" spans="1:3" x14ac:dyDescent="0.3">
      <c r="A9">
        <v>2023</v>
      </c>
      <c r="B9" t="s">
        <v>4</v>
      </c>
      <c r="C9" s="1">
        <f>1.2*15659.39</f>
        <v>18791.268</v>
      </c>
    </row>
    <row r="10" spans="1:3" x14ac:dyDescent="0.3">
      <c r="A10">
        <v>2020</v>
      </c>
      <c r="B10" t="s">
        <v>5</v>
      </c>
      <c r="C10" s="1">
        <v>206010.13</v>
      </c>
    </row>
    <row r="11" spans="1:3" x14ac:dyDescent="0.3">
      <c r="A11">
        <v>2021</v>
      </c>
      <c r="B11" t="s">
        <v>5</v>
      </c>
      <c r="C11" s="1">
        <v>213836.72</v>
      </c>
    </row>
    <row r="12" spans="1:3" x14ac:dyDescent="0.3">
      <c r="A12">
        <v>2022</v>
      </c>
      <c r="B12" t="s">
        <v>5</v>
      </c>
      <c r="C12" s="1">
        <v>211686.66</v>
      </c>
    </row>
    <row r="13" spans="1:3" x14ac:dyDescent="0.3">
      <c r="A13">
        <v>2023</v>
      </c>
      <c r="B13" t="s">
        <v>5</v>
      </c>
      <c r="C13" s="1">
        <f>1.2*171443.02</f>
        <v>205731.62399999998</v>
      </c>
    </row>
    <row r="14" spans="1:3" x14ac:dyDescent="0.3">
      <c r="A14">
        <v>2020</v>
      </c>
      <c r="B14" t="s">
        <v>6</v>
      </c>
      <c r="C14" s="1">
        <v>37408.81</v>
      </c>
    </row>
    <row r="15" spans="1:3" x14ac:dyDescent="0.3">
      <c r="A15">
        <v>2021</v>
      </c>
      <c r="B15" t="s">
        <v>6</v>
      </c>
      <c r="C15" s="1">
        <v>78742.100000000006</v>
      </c>
    </row>
    <row r="16" spans="1:3" x14ac:dyDescent="0.3">
      <c r="A16">
        <v>2022</v>
      </c>
      <c r="B16" t="s">
        <v>6</v>
      </c>
      <c r="C16" s="1">
        <v>51534.7</v>
      </c>
    </row>
    <row r="17" spans="1:12" x14ac:dyDescent="0.3">
      <c r="A17">
        <v>2023</v>
      </c>
      <c r="B17" t="s">
        <v>6</v>
      </c>
      <c r="C17" s="1">
        <f>1.2*45045.61</f>
        <v>54054.731999999996</v>
      </c>
    </row>
    <row r="18" spans="1:12" x14ac:dyDescent="0.3">
      <c r="A18">
        <v>2020</v>
      </c>
      <c r="B18" t="s">
        <v>7</v>
      </c>
      <c r="C18" s="1">
        <v>307440.61</v>
      </c>
      <c r="F18" s="10" t="s">
        <v>8</v>
      </c>
      <c r="G18" s="10" t="s">
        <v>11</v>
      </c>
    </row>
    <row r="19" spans="1:12" x14ac:dyDescent="0.3">
      <c r="A19">
        <v>2021</v>
      </c>
      <c r="B19" t="s">
        <v>7</v>
      </c>
      <c r="C19" s="1">
        <v>339138.66</v>
      </c>
      <c r="F19" s="10" t="s">
        <v>9</v>
      </c>
      <c r="G19" t="s">
        <v>3</v>
      </c>
      <c r="H19" t="s">
        <v>4</v>
      </c>
      <c r="I19" t="s">
        <v>5</v>
      </c>
      <c r="J19" t="s">
        <v>6</v>
      </c>
      <c r="K19" t="s">
        <v>7</v>
      </c>
      <c r="L19" t="s">
        <v>10</v>
      </c>
    </row>
    <row r="20" spans="1:12" x14ac:dyDescent="0.3">
      <c r="A20">
        <v>2022</v>
      </c>
      <c r="B20" t="s">
        <v>7</v>
      </c>
      <c r="C20" s="1">
        <v>315487.59000000003</v>
      </c>
      <c r="F20" s="11">
        <v>2020</v>
      </c>
      <c r="G20" s="9">
        <v>31748.9</v>
      </c>
      <c r="H20" s="9">
        <v>16474.36</v>
      </c>
      <c r="I20" s="9">
        <v>206010.13</v>
      </c>
      <c r="J20" s="9">
        <v>37408.81</v>
      </c>
      <c r="K20" s="9">
        <v>307440.61</v>
      </c>
      <c r="L20" s="9">
        <v>599082.81000000006</v>
      </c>
    </row>
    <row r="21" spans="1:12" x14ac:dyDescent="0.3">
      <c r="A21">
        <v>2023</v>
      </c>
      <c r="B21" t="s">
        <v>7</v>
      </c>
      <c r="C21" s="1">
        <f>1.2*270514.28</f>
        <v>324617.136</v>
      </c>
      <c r="F21" s="11">
        <v>2021</v>
      </c>
      <c r="G21" s="9">
        <v>36261</v>
      </c>
      <c r="H21" s="9">
        <v>16706.419999999998</v>
      </c>
      <c r="I21" s="9">
        <v>213836.72</v>
      </c>
      <c r="J21" s="9">
        <v>78742.100000000006</v>
      </c>
      <c r="K21" s="9">
        <v>339138.66</v>
      </c>
      <c r="L21" s="9">
        <v>684684.89999999991</v>
      </c>
    </row>
    <row r="22" spans="1:12" x14ac:dyDescent="0.3">
      <c r="F22" s="11">
        <v>2022</v>
      </c>
      <c r="G22" s="9">
        <v>35080.32</v>
      </c>
      <c r="H22" s="9">
        <v>41460.5</v>
      </c>
      <c r="I22" s="9">
        <v>211686.66</v>
      </c>
      <c r="J22" s="9">
        <v>51534.7</v>
      </c>
      <c r="K22" s="9">
        <v>315487.59000000003</v>
      </c>
      <c r="L22" s="9">
        <v>655249.77</v>
      </c>
    </row>
    <row r="23" spans="1:12" x14ac:dyDescent="0.3">
      <c r="A23" s="2" t="s">
        <v>0</v>
      </c>
      <c r="B23" s="2" t="s">
        <v>1</v>
      </c>
      <c r="C23" s="2" t="s">
        <v>2</v>
      </c>
      <c r="F23" s="11">
        <v>2023</v>
      </c>
      <c r="G23" s="9">
        <v>18550.2</v>
      </c>
      <c r="H23" s="9">
        <v>18791.268</v>
      </c>
      <c r="I23" s="9">
        <v>205731.62399999998</v>
      </c>
      <c r="J23" s="9">
        <v>54054.731999999996</v>
      </c>
      <c r="K23" s="9">
        <v>324617.136</v>
      </c>
      <c r="L23" s="9">
        <v>621744.96</v>
      </c>
    </row>
    <row r="24" spans="1:12" x14ac:dyDescent="0.3">
      <c r="A24" s="3">
        <v>2024</v>
      </c>
      <c r="B24" s="3" t="s">
        <v>3</v>
      </c>
      <c r="C24" s="4">
        <f>_xlfn.FORECAST.LINEAR(2024, C2:C5, A2:A5)</f>
        <v>20215.910000000149</v>
      </c>
      <c r="F24" s="11" t="s">
        <v>10</v>
      </c>
      <c r="G24" s="9">
        <v>121640.42</v>
      </c>
      <c r="H24" s="9">
        <v>93432.547999999995</v>
      </c>
      <c r="I24" s="9">
        <v>837265.13399999996</v>
      </c>
      <c r="J24" s="9">
        <v>221740.34199999998</v>
      </c>
      <c r="K24" s="9">
        <v>1286683.996</v>
      </c>
      <c r="L24" s="9">
        <v>2560762.44</v>
      </c>
    </row>
    <row r="25" spans="1:12" x14ac:dyDescent="0.3">
      <c r="A25" s="5">
        <v>2024</v>
      </c>
      <c r="B25" s="5" t="s">
        <v>4</v>
      </c>
      <c r="C25" s="6">
        <f>_xlfn.FORECAST.LINEAR(2024, C6:C9, A2:A5)</f>
        <v>31284.338000000454</v>
      </c>
    </row>
    <row r="26" spans="1:12" x14ac:dyDescent="0.3">
      <c r="A26" s="3">
        <v>2024</v>
      </c>
      <c r="B26" s="3" t="s">
        <v>5</v>
      </c>
      <c r="C26" s="4">
        <f>_xlfn.FORECAST.LINEAR(2024, C10:C13, A2:A5)</f>
        <v>208569.88899999997</v>
      </c>
    </row>
    <row r="27" spans="1:12" x14ac:dyDescent="0.3">
      <c r="A27" s="5">
        <v>2024</v>
      </c>
      <c r="B27" s="5" t="s">
        <v>6</v>
      </c>
      <c r="C27" s="6">
        <f>_xlfn.FORECAST.LINEAR(2024, C14:C17, A2:A5)</f>
        <v>61117.677000000142</v>
      </c>
    </row>
    <row r="28" spans="1:12" x14ac:dyDescent="0.3">
      <c r="A28" s="7">
        <v>2024</v>
      </c>
      <c r="B28" s="7" t="s">
        <v>7</v>
      </c>
      <c r="C28" s="8">
        <f>_xlfn.FORECAST.LINEAR(2024, C18:C21, A2:A5)</f>
        <v>328640.62600000016</v>
      </c>
    </row>
  </sheetData>
  <pageMargins left="0.7" right="0.7" top="0.75" bottom="0.75" header="0.3" footer="0.3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13CE7A-5E9B-44A9-8BFA-C0AA7C7A8F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2026-06-21T03:04:35Z</dcterms:created>
  <dcterms:modified xsi:type="dcterms:W3CDTF">2026-06-21T19:50:56Z</dcterms:modified>
</cp:coreProperties>
</file>