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richPivotRecords1.xml" ContentType="application/vnd.openxmlformats-officedocument.spreadsheetml.richPivot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d.docs.live.net/f2e79b2f4e42b9bb/Desktop/acme-buisness-analysis/data/cleaned/"/>
    </mc:Choice>
  </mc:AlternateContent>
  <xr:revisionPtr revIDLastSave="643" documentId="11_F25DC773A252ABDACC104888C9DA69305ADE58ED" xr6:coauthVersionLast="47" xr6:coauthVersionMax="47" xr10:uidLastSave="{785B0928-8D1C-4337-A5F0-A13037DC3182}"/>
  <bookViews>
    <workbookView xWindow="15750" yWindow="-16200" windowWidth="14610" windowHeight="15585" xr2:uid="{00000000-000D-0000-FFFF-FFFF00000000}"/>
  </bookViews>
  <sheets>
    <sheet name="customersbyregion" sheetId="2" r:id="rId1"/>
  </sheets>
  <definedNames>
    <definedName name="ExternalData_1" localSheetId="0" hidden="1">'customersbyregion'!$A$1:$D$51</definedName>
  </definedNames>
  <calcPr calcId="191029"/>
  <pivotCaches>
    <pivotCache cacheId="1" r:id="rId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2" l="1"/>
  <c r="D5" i="2"/>
  <c r="C6" i="2"/>
  <c r="D6" i="2"/>
  <c r="C10" i="2"/>
  <c r="D10" i="2"/>
  <c r="C11" i="2"/>
  <c r="D11" i="2"/>
  <c r="C15" i="2"/>
  <c r="D15" i="2"/>
  <c r="C16" i="2"/>
  <c r="D16" i="2"/>
  <c r="C20" i="2"/>
  <c r="D20" i="2"/>
  <c r="C21" i="2"/>
  <c r="D21" i="2"/>
  <c r="C25" i="2"/>
  <c r="D25" i="2"/>
  <c r="C26" i="2"/>
  <c r="D26" i="2"/>
  <c r="C30" i="2"/>
  <c r="D30" i="2"/>
  <c r="C31" i="2"/>
  <c r="D31" i="2"/>
  <c r="C35" i="2"/>
  <c r="D35" i="2"/>
  <c r="C36" i="2"/>
  <c r="D36" i="2"/>
  <c r="C40" i="2"/>
  <c r="D40" i="2"/>
  <c r="C41" i="2"/>
  <c r="D41" i="2"/>
  <c r="C45" i="2"/>
  <c r="D45" i="2"/>
  <c r="C46" i="2"/>
  <c r="D46" i="2"/>
  <c r="C50" i="2"/>
  <c r="D50" i="2"/>
  <c r="C51" i="2"/>
  <c r="D51" i="2"/>
  <c r="J2" i="2" l="1"/>
  <c r="J8" i="2"/>
  <c r="I2" i="2"/>
  <c r="J5" i="2"/>
  <c r="J6" i="2"/>
  <c r="J7" i="2"/>
  <c r="I9" i="2"/>
  <c r="I10" i="2"/>
  <c r="I11" i="2"/>
  <c r="J3" i="2"/>
  <c r="I4" i="2"/>
  <c r="I5" i="2"/>
  <c r="I6" i="2"/>
  <c r="I7" i="2"/>
  <c r="I8" i="2"/>
  <c r="I3" i="2"/>
  <c r="J4" i="2"/>
  <c r="J9" i="2"/>
  <c r="J10" i="2"/>
  <c r="J1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7D5B48B-AFA0-4DA3-AC80-90D3E40ECA2A}" keepAlive="1" name="Query - customersbyregion" description="Connection to the 'customersbyregion' query in the workbook." type="5" refreshedVersion="8" background="1" saveData="1">
    <dbPr connection="Provider=Microsoft.Mashup.OleDb.1;Data Source=$Workbook$;Location=customersbyregion;Extended Properties=&quot;&quot;" command="SELECT * FROM [customersbyregion]"/>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0">
    <bk>
      <extLst>
        <ext uri="{3e2802c4-a4d2-4d8b-9148-e3be6c30e623}">
          <xlrd:rvb i="0"/>
        </ext>
      </extLst>
    </bk>
    <bk>
      <extLst>
        <ext uri="{3e2802c4-a4d2-4d8b-9148-e3be6c30e623}">
          <xlrd:rvb i="19"/>
        </ext>
      </extLst>
    </bk>
    <bk>
      <extLst>
        <ext uri="{3e2802c4-a4d2-4d8b-9148-e3be6c30e623}">
          <xlrd:rvb i="37"/>
        </ext>
      </extLst>
    </bk>
    <bk>
      <extLst>
        <ext uri="{3e2802c4-a4d2-4d8b-9148-e3be6c30e623}">
          <xlrd:rvb i="52"/>
        </ext>
      </extLst>
    </bk>
    <bk>
      <extLst>
        <ext uri="{3e2802c4-a4d2-4d8b-9148-e3be6c30e623}">
          <xlrd:rvb i="70"/>
        </ext>
      </extLst>
    </bk>
    <bk>
      <extLst>
        <ext uri="{3e2802c4-a4d2-4d8b-9148-e3be6c30e623}">
          <xlrd:rvb i="85"/>
        </ext>
      </extLst>
    </bk>
    <bk>
      <extLst>
        <ext uri="{3e2802c4-a4d2-4d8b-9148-e3be6c30e623}">
          <xlrd:rvb i="99"/>
        </ext>
      </extLst>
    </bk>
    <bk>
      <extLst>
        <ext uri="{3e2802c4-a4d2-4d8b-9148-e3be6c30e623}">
          <xlrd:rvb i="115"/>
        </ext>
      </extLst>
    </bk>
    <bk>
      <extLst>
        <ext uri="{3e2802c4-a4d2-4d8b-9148-e3be6c30e623}">
          <xlrd:rvb i="129"/>
        </ext>
      </extLst>
    </bk>
    <bk>
      <extLst>
        <ext uri="{3e2802c4-a4d2-4d8b-9148-e3be6c30e623}">
          <xlrd:rvb i="146"/>
        </ext>
      </extLst>
    </bk>
  </futureMetadata>
  <valueMetadata count="10">
    <bk>
      <rc t="1" v="0"/>
    </bk>
    <bk>
      <rc t="1" v="1"/>
    </bk>
    <bk>
      <rc t="1" v="2"/>
    </bk>
    <bk>
      <rc t="1" v="3"/>
    </bk>
    <bk>
      <rc t="1" v="4"/>
    </bk>
    <bk>
      <rc t="1" v="5"/>
    </bk>
    <bk>
      <rc t="1" v="6"/>
    </bk>
    <bk>
      <rc t="1" v="7"/>
    </bk>
    <bk>
      <rc t="1" v="8"/>
    </bk>
    <bk>
      <rc t="1" v="9"/>
    </bk>
  </valueMetadata>
</metadata>
</file>

<file path=xl/sharedStrings.xml><?xml version="1.0" encoding="utf-8"?>
<sst xmlns="http://schemas.openxmlformats.org/spreadsheetml/2006/main" count="27" uniqueCount="11">
  <si>
    <t>year</t>
  </si>
  <si>
    <t>state</t>
  </si>
  <si>
    <t>revenue</t>
  </si>
  <si>
    <t>Number of Customers</t>
  </si>
  <si>
    <t>Linear Forecast</t>
  </si>
  <si>
    <t>Column1</t>
  </si>
  <si>
    <t>numCustomers</t>
  </si>
  <si>
    <t>Sum of numCustomers</t>
  </si>
  <si>
    <t>Row Labels</t>
  </si>
  <si>
    <t>Column Labels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</si>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</sst>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44" formatCode="_-&quot;$&quot;* #,##0.00_-;\-&quot;$&quot;* #,##0.00_-;_-&quot;$&quot;* &quot;-&quot;??_-;_-@_-"/>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7">
    <xf numFmtId="0" fontId="0" fillId="0" borderId="0" xfId="0"/>
    <xf numFmtId="44" fontId="0" fillId="0" borderId="0" xfId="1" applyFont="1"/>
    <xf numFmtId="1" fontId="0" fillId="0" borderId="0" xfId="0" applyNumberFormat="1"/>
    <xf numFmtId="8"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2">
    <cellStyle name="Currency" xfId="1" builtinId="4"/>
    <cellStyle name="Normal" xfId="0" builtinId="0"/>
  </cellStyles>
  <dxfs count="3">
    <dxf>
      <numFmt numFmtId="12" formatCode="&quot;$&quot;#,##0.00;[Red]\-&quot;$&quot;#,##0.00"/>
    </dxf>
    <dxf>
      <numFmt numFmtId="12" formatCode="&quot;$&quot;#,##0.00;[Red]\-&quot;$&quot;#,##0.0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0/07/relationships/rdRichValueWebImage" Target="richData/rdRichValueWebImage.xml"/><Relationship Id="rId13" Type="http://schemas.microsoft.com/office/2017/06/relationships/rdSupportingPropertyBagStructure" Target="richData/rdsupportingpropertybagstructure.xml"/><Relationship Id="rId3" Type="http://schemas.openxmlformats.org/officeDocument/2006/relationships/theme" Target="theme/theme1.xml"/><Relationship Id="rId7" Type="http://schemas.openxmlformats.org/officeDocument/2006/relationships/sheetMetadata" Target="metadata.xml"/><Relationship Id="rId12" Type="http://schemas.microsoft.com/office/2017/06/relationships/richStyles" Target="richData/richStyles.xml"/><Relationship Id="rId17" Type="http://schemas.openxmlformats.org/officeDocument/2006/relationships/customXml" Target="../customXml/item1.xml"/><Relationship Id="rId2" Type="http://schemas.openxmlformats.org/officeDocument/2006/relationships/pivotCacheDefinition" Target="pivotCache/pivotCacheDefinition1.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Array" Target="richData/rdarray.xml"/><Relationship Id="rId5" Type="http://schemas.openxmlformats.org/officeDocument/2006/relationships/styles" Target="styles.xml"/><Relationship Id="rId15" Type="http://schemas.microsoft.com/office/2017/06/relationships/rdRichValueTypes" Target="richData/rdRichValueTypes.xml"/><Relationship Id="rId10" Type="http://schemas.microsoft.com/office/2017/06/relationships/rdRichValueStructure" Target="richData/rdrichvaluestructure.xml"/><Relationship Id="rId4" Type="http://schemas.openxmlformats.org/officeDocument/2006/relationships/connections" Target="connections.xml"/><Relationship Id="rId9" Type="http://schemas.microsoft.com/office/2017/06/relationships/rdRichValue" Target="richData/rdrichvalue.xml"/><Relationship Id="rId14" Type="http://schemas.microsoft.com/office/2017/06/relationships/rdSupportingPropertyBag" Target="richData/rdsupportingpropertybag.xml"/></Relationships>
</file>

<file path=xl/pivotCache/_rels/pivotCacheDefinition1.xml.rels><?xml version="1.0" encoding="UTF-8" standalone="yes"?>
<Relationships xmlns="http://schemas.openxmlformats.org/package/2006/relationships"><Relationship Id="rId1" Type="http://schemas.openxmlformats.org/officeDocument/2006/relationships/richPivotRecords" Target="richPivot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Rianna Sundlie" refreshedDate="46194.450445949071" createdVersion="8" refreshedVersion="8" minRefreshableVersion="3" recordCount="50" xr:uid="{83CE6BB5-2BF1-4474-A2DB-E2B09F5E388E}">
  <cacheSource type="worksheet">
    <worksheetSource name="customersbyregion"/>
  </cacheSource>
  <cacheFields count="5">
    <cacheField name="year" numFmtId="0">
      <sharedItems containsSemiMixedTypes="0" containsString="0" containsNumber="1" containsInteger="1" minValue="2020" maxValue="2024" count="5">
        <n v="2020"/>
        <n v="2021"/>
        <n v="2022"/>
        <n v="2023"/>
        <n v="2024"/>
      </sharedItems>
    </cacheField>
    <cacheField name="state" numFmtId="0">
      <sharedItems count="10">
        <s v="Alberta"/>
        <s v="British Columbia"/>
        <s v="Manitoba"/>
        <s v="New Brunswick"/>
        <s v="Newfoundland and Labrador"/>
        <s v="Nova Scotia"/>
        <s v="Ontario"/>
        <s v="Prince Edward Island"/>
        <s v="Quebec"/>
        <s v="Saskatchewan"/>
      </sharedItems>
    </cacheField>
    <cacheField name="numCustomers" numFmtId="0">
      <sharedItems containsSemiMixedTypes="0" containsString="0" containsNumber="1" minValue="21" maxValue="126"/>
    </cacheField>
    <cacheField name="revenue" numFmtId="8">
      <sharedItems containsSemiMixedTypes="0" containsString="0" containsNumber="1" minValue="18597.88" maxValue="129388.94"/>
    </cacheField>
    <cacheField name="Column1" numFmtId="0">
      <sharedItems containsBlank="1"/>
    </cacheField>
  </cacheFields>
  <extLst>
    <ext xmlns:x14="http://schemas.microsoft.com/office/spreadsheetml/2009/9/main" uri="{725AE2AE-9491-48be-B2B4-4EB974FC3084}">
      <x14:pivotCacheDefinition/>
    </ext>
    <ext xmlns:xxpvi="http://schemas.microsoft.com/office/spreadsheetml/2022/pivotVersionInfo" uri="{9F748A41-CAEA-4470-BF7A-CE61E8FFA7F9}">
      <xxpvi:cacheVersionInfo>
        <xxpvi:lastRefreshFeature>RichData</xxpvi:lastRefreshFeature>
      </xxpvi:cacheVersionInfo>
    </ext>
    <ext xmlns:xprd="http://schemas.microsoft.com/office/spreadsheetml/2022/pivotRichData" uri="{2C874A73-7782-4A18-856F-96AC7E287872}">
      <xprd:richInfo pivotCacheGuid="{83CE6BB5-2BF1-4474-A2DB-E2B09F5E388E}" pivotIgnoreInvalidCache="1" r:id="rId1"/>
    </ext>
  </extLst>
</pivotCacheDefinition>
</file>

<file path=xl/pivotCache/richPivot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x v="0"/>
    <n v="103"/>
    <n v="107874.65"/>
    <m/>
  </r>
  <r>
    <x v="1"/>
    <x v="0"/>
    <n v="126"/>
    <n v="129388.94"/>
    <m/>
  </r>
  <r>
    <x v="2"/>
    <x v="0"/>
    <n v="81"/>
    <n v="84504.53"/>
    <m/>
  </r>
  <r>
    <x v="3"/>
    <x v="0"/>
    <n v="97.2"/>
    <n v="111461.91599999998"/>
    <m/>
  </r>
  <r>
    <x v="4"/>
    <x v="0"/>
    <n v="86.199999999998909"/>
    <n v="99776.85599999968"/>
    <s v="Linear Forecast"/>
  </r>
  <r>
    <x v="0"/>
    <x v="1"/>
    <n v="31"/>
    <n v="38275.86"/>
    <m/>
  </r>
  <r>
    <x v="1"/>
    <x v="1"/>
    <n v="32"/>
    <n v="33369.75"/>
    <m/>
  </r>
  <r>
    <x v="2"/>
    <x v="1"/>
    <n v="21"/>
    <n v="18597.88"/>
    <m/>
  </r>
  <r>
    <x v="3"/>
    <x v="1"/>
    <n v="37.199999999999996"/>
    <n v="36223.716"/>
    <m/>
  </r>
  <r>
    <x v="4"/>
    <x v="1"/>
    <n v="32.199999999999818"/>
    <n v="26384.725999999791"/>
    <s v="Linear Forecast"/>
  </r>
  <r>
    <x v="0"/>
    <x v="2"/>
    <n v="39"/>
    <n v="32430.38"/>
    <m/>
  </r>
  <r>
    <x v="1"/>
    <x v="2"/>
    <n v="70"/>
    <n v="70422.490000000005"/>
    <m/>
  </r>
  <r>
    <x v="2"/>
    <x v="2"/>
    <n v="104"/>
    <n v="122508.02"/>
    <m/>
  </r>
  <r>
    <x v="3"/>
    <x v="2"/>
    <n v="67.2"/>
    <n v="64843.235999999997"/>
    <m/>
  </r>
  <r>
    <x v="4"/>
    <x v="2"/>
    <n v="99.700000000000728"/>
    <n v="109882.05600000173"/>
    <s v="Linear Forecast"/>
  </r>
  <r>
    <x v="0"/>
    <x v="3"/>
    <n v="52"/>
    <n v="54677.71"/>
    <m/>
  </r>
  <r>
    <x v="1"/>
    <x v="3"/>
    <n v="24"/>
    <n v="25795.73"/>
    <m/>
  </r>
  <r>
    <x v="2"/>
    <x v="3"/>
    <n v="31"/>
    <n v="42169.79"/>
    <m/>
  </r>
  <r>
    <x v="3"/>
    <x v="3"/>
    <n v="40.799999999999997"/>
    <n v="42256.847999999998"/>
    <m/>
  </r>
  <r>
    <x v="4"/>
    <x v="3"/>
    <n v="30.300000000000182"/>
    <n v="36002.888000000268"/>
    <s v="Linear Forecast"/>
  </r>
  <r>
    <x v="0"/>
    <x v="4"/>
    <n v="56"/>
    <n v="65332.5"/>
    <m/>
  </r>
  <r>
    <x v="1"/>
    <x v="4"/>
    <n v="60"/>
    <n v="71624.36"/>
    <m/>
  </r>
  <r>
    <x v="2"/>
    <x v="4"/>
    <n v="68"/>
    <n v="70661.37"/>
    <m/>
  </r>
  <r>
    <x v="3"/>
    <x v="4"/>
    <n v="75.599999999999994"/>
    <n v="73371.887999999992"/>
    <m/>
  </r>
  <r>
    <x v="4"/>
    <x v="4"/>
    <n v="81.600000000000364"/>
    <n v="76036.322999999858"/>
    <s v="Linear Forecast"/>
  </r>
  <r>
    <x v="0"/>
    <x v="5"/>
    <n v="82"/>
    <n v="87858.38"/>
    <m/>
  </r>
  <r>
    <x v="1"/>
    <x v="5"/>
    <n v="104"/>
    <n v="121721.89"/>
    <m/>
  </r>
  <r>
    <x v="2"/>
    <x v="5"/>
    <n v="90"/>
    <n v="104665.09"/>
    <m/>
  </r>
  <r>
    <x v="3"/>
    <x v="5"/>
    <n v="52.8"/>
    <n v="47712"/>
    <m/>
  </r>
  <r>
    <x v="4"/>
    <x v="5"/>
    <n v="56.799999999999272"/>
    <n v="56115.355000000447"/>
    <s v="Linear Forecast"/>
  </r>
  <r>
    <x v="0"/>
    <x v="6"/>
    <n v="32"/>
    <n v="29598.82"/>
    <m/>
  </r>
  <r>
    <x v="1"/>
    <x v="6"/>
    <n v="31"/>
    <n v="39533.94"/>
    <m/>
  </r>
  <r>
    <x v="2"/>
    <x v="6"/>
    <n v="24"/>
    <n v="25873.94"/>
    <m/>
  </r>
  <r>
    <x v="3"/>
    <x v="6"/>
    <n v="32.4"/>
    <n v="33378.432000000001"/>
    <m/>
  </r>
  <r>
    <x v="4"/>
    <x v="6"/>
    <n v="28.399999999999864"/>
    <n v="31515.991999999969"/>
    <s v="Linear Forecast"/>
  </r>
  <r>
    <x v="0"/>
    <x v="7"/>
    <n v="57"/>
    <n v="50369.32"/>
    <m/>
  </r>
  <r>
    <x v="1"/>
    <x v="7"/>
    <n v="87"/>
    <n v="90113.32"/>
    <m/>
  </r>
  <r>
    <x v="2"/>
    <x v="7"/>
    <n v="42"/>
    <n v="44909.82"/>
    <m/>
  </r>
  <r>
    <x v="3"/>
    <x v="7"/>
    <n v="67.2"/>
    <n v="79613.279999999984"/>
    <m/>
  </r>
  <r>
    <x v="4"/>
    <x v="7"/>
    <n v="59.700000000000273"/>
    <n v="76883.530000001192"/>
    <s v="Linear Forecast"/>
  </r>
  <r>
    <x v="0"/>
    <x v="8"/>
    <n v="44"/>
    <n v="53720.9"/>
    <m/>
  </r>
  <r>
    <x v="1"/>
    <x v="8"/>
    <n v="55"/>
    <n v="46438.46"/>
    <m/>
  </r>
  <r>
    <x v="2"/>
    <x v="8"/>
    <n v="69"/>
    <n v="76367.009999999995"/>
    <m/>
  </r>
  <r>
    <x v="3"/>
    <x v="8"/>
    <n v="103.2"/>
    <n v="95684.87999999999"/>
    <m/>
  </r>
  <r>
    <x v="4"/>
    <x v="8"/>
    <n v="115.70000000000437"/>
    <n v="107007.93500000238"/>
    <s v="Linear Forecast"/>
  </r>
  <r>
    <x v="0"/>
    <x v="9"/>
    <n v="92"/>
    <n v="97501.09"/>
    <m/>
  </r>
  <r>
    <x v="1"/>
    <x v="9"/>
    <n v="73"/>
    <n v="77365.62"/>
    <m/>
  </r>
  <r>
    <x v="2"/>
    <x v="9"/>
    <n v="83"/>
    <n v="86051.54"/>
    <m/>
  </r>
  <r>
    <x v="3"/>
    <x v="9"/>
    <n v="91.2"/>
    <n v="103450.656"/>
    <m/>
  </r>
  <r>
    <x v="4"/>
    <x v="9"/>
    <n v="86.700000000000045"/>
    <n v="97725.881000000052"/>
    <s v="Linear Forecas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3C9AE9-E205-4697-AC7E-210D9E11B816}"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15:P21" firstHeaderRow="1" firstDataRow="2" firstDataCol="1"/>
  <pivotFields count="5">
    <pivotField axis="axisRow" showAll="0">
      <items count="6">
        <item x="0"/>
        <item x="1"/>
        <item x="2"/>
        <item x="3"/>
        <item h="1" x="4"/>
        <item t="default"/>
      </items>
    </pivotField>
    <pivotField axis="axisCol" showAll="0">
      <items count="11">
        <item h="1" x="0"/>
        <item x="1"/>
        <item x="2"/>
        <item h="1" x="3"/>
        <item x="4"/>
        <item h="1" x="5"/>
        <item h="1" x="6"/>
        <item h="1" x="7"/>
        <item x="8"/>
        <item x="9"/>
        <item t="default"/>
      </items>
    </pivotField>
    <pivotField dataField="1" showAll="0"/>
    <pivotField numFmtId="8" showAll="0"/>
    <pivotField showAll="0"/>
  </pivotFields>
  <rowFields count="1">
    <field x="0"/>
  </rowFields>
  <rowItems count="5">
    <i>
      <x/>
    </i>
    <i>
      <x v="1"/>
    </i>
    <i>
      <x v="2"/>
    </i>
    <i>
      <x v="3"/>
    </i>
    <i t="grand">
      <x/>
    </i>
  </rowItems>
  <colFields count="1">
    <field x="1"/>
  </colFields>
  <colItems count="6">
    <i>
      <x v="1"/>
    </i>
    <i>
      <x v="2"/>
    </i>
    <i>
      <x v="4"/>
    </i>
    <i>
      <x v="8"/>
    </i>
    <i>
      <x v="9"/>
    </i>
    <i t="grand">
      <x/>
    </i>
  </colItems>
  <dataFields count="1">
    <dataField name="Sum of numCustomers"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7D23A5-492F-43FE-AA91-B0AF2993F0A7}" name="PivotTable16" cacheId="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5">
  <location ref="G13:H24" firstHeaderRow="1" firstDataRow="2" firstDataCol="1"/>
  <pivotFields count="5">
    <pivotField axis="axisCol" showAll="0">
      <items count="6">
        <item h="1" x="0"/>
        <item h="1" x="1"/>
        <item x="2"/>
        <item h="1" x="3"/>
        <item h="1" x="4"/>
        <item t="default"/>
      </items>
    </pivotField>
    <pivotField axis="axisRow" showAll="0">
      <items count="11">
        <item x="0"/>
        <item x="1"/>
        <item x="2"/>
        <item x="3"/>
        <item x="4"/>
        <item x="5"/>
        <item x="6"/>
        <item x="7"/>
        <item x="8"/>
        <item x="9"/>
        <item t="default"/>
      </items>
    </pivotField>
    <pivotField dataField="1" showAll="0"/>
    <pivotField numFmtId="8" showAll="0"/>
    <pivotField showAll="0"/>
  </pivotFields>
  <rowFields count="1">
    <field x="1"/>
  </rowFields>
  <rowItems count="10">
    <i>
      <x/>
    </i>
    <i>
      <x v="1"/>
    </i>
    <i>
      <x v="2"/>
    </i>
    <i>
      <x v="3"/>
    </i>
    <i>
      <x v="4"/>
    </i>
    <i>
      <x v="5"/>
    </i>
    <i>
      <x v="6"/>
    </i>
    <i>
      <x v="7"/>
    </i>
    <i>
      <x v="8"/>
    </i>
    <i>
      <x v="9"/>
    </i>
  </rowItems>
  <colFields count="1">
    <field x="0"/>
  </colFields>
  <colItems count="1">
    <i>
      <x v="2"/>
    </i>
  </colItems>
  <dataFields count="1">
    <dataField name="Sum of numCustomers"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817FBFE-EEFF-40D4-90DE-25FA725D73BB}" autoFormatId="16" applyNumberFormats="0" applyBorderFormats="0" applyFontFormats="0" applyPatternFormats="0" applyAlignmentFormats="0" applyWidthHeightFormats="0">
  <queryTableRefresh nextId="8" unboundColumnsRight="1">
    <queryTableFields count="5">
      <queryTableField id="1" name="year" tableColumnId="1"/>
      <queryTableField id="2" name="state" tableColumnId="2"/>
      <queryTableField id="5" name="numCustomers" tableColumnId="5"/>
      <queryTableField id="4" name="revenue" tableColumnId="4"/>
      <queryTableField id="7" dataBound="0" tableColumnId="6"/>
    </queryTableFields>
  </queryTableRefresh>
</queryTable>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New%20Brunswick" TargetMode="External"/><Relationship Id="rId13" Type="http://schemas.openxmlformats.org/officeDocument/2006/relationships/hyperlink" Target="https://www.bing.com/th?id=OSK.105070553dccf583f36eb435ac6a9eed&amp;qlt=95" TargetMode="External"/><Relationship Id="rId18" Type="http://schemas.openxmlformats.org/officeDocument/2006/relationships/hyperlink" Target="https://www.bing.com/images/search?form=xlimg&amp;q=Quebec" TargetMode="External"/><Relationship Id="rId3" Type="http://schemas.openxmlformats.org/officeDocument/2006/relationships/hyperlink" Target="https://www.bing.com/th?id=OSK.1988147987f51894dcbaaec54fab6cb5&amp;qlt=95" TargetMode="External"/><Relationship Id="rId7" Type="http://schemas.openxmlformats.org/officeDocument/2006/relationships/hyperlink" Target="https://www.bing.com/th?id=OSK.e16290c278873762b9d110db4b8b220d&amp;qlt=95" TargetMode="External"/><Relationship Id="rId12" Type="http://schemas.openxmlformats.org/officeDocument/2006/relationships/hyperlink" Target="https://www.bing.com/images/search?form=xlimg&amp;q=Nova%20Scotia" TargetMode="External"/><Relationship Id="rId17" Type="http://schemas.openxmlformats.org/officeDocument/2006/relationships/hyperlink" Target="https://www.bing.com/th?id=OSK.a5778b355b8733eacf17e05a7428ce29&amp;qlt=95" TargetMode="External"/><Relationship Id="rId2" Type="http://schemas.openxmlformats.org/officeDocument/2006/relationships/hyperlink" Target="https://www.bing.com/images/search?form=xlimg&amp;q=Alberta" TargetMode="External"/><Relationship Id="rId16" Type="http://schemas.openxmlformats.org/officeDocument/2006/relationships/hyperlink" Target="https://www.bing.com/images/search?form=xlimg&amp;q=Prince%20Edward%20Island" TargetMode="External"/><Relationship Id="rId20" Type="http://schemas.openxmlformats.org/officeDocument/2006/relationships/hyperlink" Target="https://www.bing.com/images/search?form=xlimg&amp;q=Saskatchewan" TargetMode="External"/><Relationship Id="rId1" Type="http://schemas.openxmlformats.org/officeDocument/2006/relationships/hyperlink" Target="https://www.bing.com/th?id=OSK.88e0f1ede967e20cdb323ddc519173a1&amp;qlt=95" TargetMode="External"/><Relationship Id="rId6" Type="http://schemas.openxmlformats.org/officeDocument/2006/relationships/hyperlink" Target="https://www.bing.com/images/search?form=xlimg&amp;q=Manitoba" TargetMode="External"/><Relationship Id="rId11" Type="http://schemas.openxmlformats.org/officeDocument/2006/relationships/hyperlink" Target="https://www.bing.com/th?id=OSK.41ac4772e7721f39e07f911451339e24&amp;qlt=95" TargetMode="External"/><Relationship Id="rId5" Type="http://schemas.openxmlformats.org/officeDocument/2006/relationships/hyperlink" Target="https://www.bing.com/th?id=OSK.e82bb3a8f24b0befb6aeba7aa4d4550d&amp;qlt=95" TargetMode="External"/><Relationship Id="rId15" Type="http://schemas.openxmlformats.org/officeDocument/2006/relationships/hyperlink" Target="https://www.bing.com/th?id=OSK.732ff7245b405c8cd0477672ca1ad30e&amp;qlt=95" TargetMode="External"/><Relationship Id="rId10" Type="http://schemas.openxmlformats.org/officeDocument/2006/relationships/hyperlink" Target="https://www.bing.com/images/search?form=xlimg&amp;q=Newfoundland%20and%20Labrador" TargetMode="External"/><Relationship Id="rId19" Type="http://schemas.openxmlformats.org/officeDocument/2006/relationships/hyperlink" Target="https://www.bing.com/th?id=OSK.f70644ddf0c98788460fab194e5527a7&amp;qlt=95" TargetMode="External"/><Relationship Id="rId4" Type="http://schemas.openxmlformats.org/officeDocument/2006/relationships/hyperlink" Target="https://www.bing.com/images/search?form=xlimg&amp;q=British%20Columbia" TargetMode="External"/><Relationship Id="rId9" Type="http://schemas.openxmlformats.org/officeDocument/2006/relationships/hyperlink" Target="https://www.bing.com/th?id=OSK.fd0f65ba52ac44d6e962535f3eb94de6&amp;qlt=95" TargetMode="External"/><Relationship Id="rId14" Type="http://schemas.openxmlformats.org/officeDocument/2006/relationships/hyperlink" Target="https://www.bing.com/images/search?form=xlimg&amp;q=Ontario"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Srd>
</file>

<file path=xl/richData/rdarray.xml><?xml version="1.0" encoding="utf-8"?>
<arrayData xmlns="http://schemas.microsoft.com/office/spreadsheetml/2017/richdata2" count="25">
  <a r="2">
    <v t="r">9</v>
    <v t="r">10</v>
  </a>
  <a r="1">
    <v t="s">English</v>
  </a>
  <a r="1">
    <v t="s">Mountain Time Zone</v>
  </a>
  <a r="2">
    <v t="r">27</v>
    <v t="r">28</v>
  </a>
  <a r="1">
    <v t="s">English language</v>
  </a>
  <a r="2">
    <v t="s">Pacific Time Zone</v>
    <v t="s">Mountain Time Zone</v>
  </a>
  <a r="2">
    <v t="r">43</v>
    <v t="r">44</v>
  </a>
  <a r="1">
    <v t="s">Central Time Zone</v>
  </a>
  <a r="2">
    <v t="r">60</v>
    <v t="r">61</v>
  </a>
  <a r="2">
    <v t="s">English</v>
    <v t="s">French</v>
  </a>
  <a r="1">
    <v t="s">Atlantic Time Zone</v>
  </a>
  <a r="2">
    <v t="r">77</v>
    <v t="r">78</v>
  </a>
  <a r="2">
    <v t="s">Newfoundland Standard time</v>
    <v t="s">Atlantic Time Zone</v>
  </a>
  <a r="2">
    <v t="r">91</v>
    <v t="r">92</v>
  </a>
  <a r="3">
    <v t="s">English</v>
    <v t="s">Canadian French</v>
    <v t="s">Canadian Gaelic</v>
  </a>
  <a r="2">
    <v t="r">106</v>
    <v t="r">107</v>
  </a>
  <a r="1">
    <v t="s">Canadian English</v>
  </a>
  <a r="2">
    <v t="s">Eastern Time Zone</v>
    <v t="s">Central Time Zone</v>
  </a>
  <a r="2">
    <v t="r">122</v>
    <v t="r">123</v>
  </a>
  <a r="2">
    <v t="r">137</v>
    <v t="r">138</v>
  </a>
  <a r="1">
    <v t="s">Quebec French</v>
  </a>
  <a r="2">
    <v t="s">Eastern Time Zone</v>
    <v t="s">Atlantic Time Zone</v>
  </a>
  <a r="2">
    <v t="r">154</v>
    <v t="r">155</v>
  </a>
  <a r="2">
    <v t="s">Mountain Time Zone</v>
    <v t="s">Central Time Zone</v>
  </a>
  <a r="11">
    <v t="r">0</v>
    <v t="r">19</v>
    <v t="r">37</v>
    <v t="r">52</v>
    <v t="r">70</v>
    <v t="r">85</v>
    <v t="r">99</v>
    <v t="r">115</v>
    <v t="r">129</v>
    <v t="r">146</v>
    <v t="i">1</v>
  </a>
</arrayData>
</file>

<file path=xl/richData/rdrichvalue.xml><?xml version="1.0" encoding="utf-8"?>
<rvData xmlns="http://schemas.microsoft.com/office/spreadsheetml/2017/richdata" count="164">
  <rv s="0">
    <v>536870912</v>
    <v>Alberta</v>
    <v>ac4b7d59-c4be-889f-9a45-7e7c524794ec</v>
    <v>en-CA</v>
    <v>Map</v>
  </rv>
  <rv s="1">
    <fb>661848</fb>
    <v>11</v>
  </rv>
  <rv s="1">
    <fb>824632</fb>
    <v>11</v>
  </rv>
  <rv s="0">
    <v>536870912</v>
    <v>Edmonton</v>
    <v>cdbd2c0f-d425-d6df-76e9-e304f01710fd</v>
    <v>en-CA</v>
    <v>Map</v>
  </rv>
  <rv s="0">
    <v>536870912</v>
    <v>Canada</v>
    <v>370ed614-32e1-4326-a356-dc0a7dd56aaa</v>
    <v>en-CA</v>
    <v>Map</v>
  </rv>
  <rv s="1">
    <fb>1527680</fb>
    <v>11</v>
  </rv>
  <rv s="1">
    <fb>1527678</fb>
    <v>11</v>
  </rv>
  <rv s="2">
    <v>0</v>
    <v>9</v>
    <v>0</v>
    <v>7</v>
    <v>0</v>
    <v>Image of Alberta</v>
  </rv>
  <rv s="0">
    <v>536870912</v>
    <v>Calgary</v>
    <v>8cb52ce0-e63a-0445-3e20-39d4b6e97810</v>
    <v>en-CA</v>
    <v>Map</v>
  </rv>
  <rv s="0">
    <v>805306368</v>
    <v>Salma Lakhani (Lieutenant governor)</v>
    <v>c30e4747-bdee-8501-1474-a912346ca072</v>
    <v>en-CA</v>
    <v>Generic</v>
  </rv>
  <rv s="0">
    <v>805306368</v>
    <v>Danielle Smith (Premier)</v>
    <v>de79802a-f137-786c-bf2b-e9454d47ed27</v>
    <v>en-CA</v>
    <v>Generic</v>
  </rv>
  <rv s="3">
    <v>0</v>
  </rv>
  <rv s="4">
    <v>https://www.bing.com/search?q=alberta+canada&amp;form=skydnc</v>
    <v>Learn more on Bing</v>
  </rv>
  <rv s="1">
    <fb>96470</fb>
    <v>12</v>
  </rv>
  <rv s="3">
    <v>1</v>
  </rv>
  <rv s="1">
    <fb>2.6</fb>
    <v>13</v>
  </rv>
  <rv s="1">
    <fb>4306039</fb>
    <v>11</v>
  </rv>
  <rv s="3">
    <v>2</v>
  </rv>
  <rv s="5">
    <v>#VALUE!</v>
    <v>en-CA</v>
    <v>ac4b7d59-c4be-889f-9a45-7e7c524794ec</v>
    <v>536870912</v>
    <v>1</v>
    <v>4</v>
    <v>5</v>
    <v>Alberta</v>
    <v>7</v>
    <v>8</v>
    <v>Map</v>
    <v>9</v>
    <v>10</v>
    <v>CA-AB</v>
    <v>1</v>
    <v>2</v>
    <v>3</v>
    <v>4</v>
    <v>Alberta is one of the thirteen provinces and territories of Canada. It is a part of Western Canada and is one of the three prairie provinces. Alberta is bordered by British Columbia to the west, Saskatchewan to the east, the Northwest ...</v>
    <v>5</v>
    <v>6</v>
    <v>7</v>
    <v>8</v>
    <v>11</v>
    <v>12</v>
    <v>13</v>
    <v>Alberta</v>
    <v>14</v>
    <v>15</v>
    <v>16</v>
    <v>17</v>
    <v>Alberta</v>
    <v>mdp/vdpid/1076</v>
  </rv>
  <rv s="0">
    <v>536870912</v>
    <v>British Columbia</v>
    <v>32a8fd1c-cd9d-0da9-35fb-f952ed824d4f</v>
    <v>en-CA</v>
    <v>Map</v>
  </rv>
  <rv s="1">
    <fb>944735</fb>
    <v>11</v>
  </rv>
  <rv s="1">
    <fb>1275117</fb>
    <v>11</v>
  </rv>
  <rv s="0">
    <v>536870912</v>
    <v>Victoria</v>
    <v>e71268bc-25c5-d843-53b9-42a670bbb618</v>
    <v>en-CA</v>
    <v>Map</v>
  </rv>
  <rv s="1">
    <fb>1881970</fb>
    <v>11</v>
  </rv>
  <rv s="1">
    <fb>1881969</fb>
    <v>11</v>
  </rv>
  <rv s="2">
    <v>1</v>
    <v>9</v>
    <v>14</v>
    <v>7</v>
    <v>0</v>
    <v>Image of British Columbia</v>
  </rv>
  <rv s="0">
    <v>536870912</v>
    <v>Vancouver</v>
    <v>d9a176fc-df40-2288-f646-b6bf5b7d4a9b</v>
    <v>en-CA</v>
    <v>Map</v>
  </rv>
  <rv s="0">
    <v>805306368</v>
    <v>Janet Austin (Lieutenant governor)</v>
    <v>00767d85-394e-9ddd-6d40-74595689d66b</v>
    <v>en-CA</v>
    <v>Generic</v>
  </rv>
  <rv s="0">
    <v>805306368</v>
    <v>David Eby (Premier)</v>
    <v>adf1311a-a1f3-4623-89f7-c14bb2ba3991</v>
    <v>en-CA</v>
    <v>Generic</v>
  </rv>
  <rv s="3">
    <v>3</v>
  </rv>
  <rv s="4">
    <v>https://www.bing.com/search?q=british+columbia&amp;form=skydnc</v>
    <v>Learn more on Bing</v>
  </rv>
  <rv s="1">
    <fb>81370</fb>
    <v>12</v>
  </rv>
  <rv s="3">
    <v>4</v>
  </rv>
  <rv s="1">
    <fb>2.4</fb>
    <v>13</v>
  </rv>
  <rv s="1">
    <fb>4841078</fb>
    <v>11</v>
  </rv>
  <rv s="3">
    <v>5</v>
  </rv>
  <rv s="5">
    <v>#VALUE!</v>
    <v>en-CA</v>
    <v>32a8fd1c-cd9d-0da9-35fb-f952ed824d4f</v>
    <v>536870912</v>
    <v>1</v>
    <v>18</v>
    <v>5</v>
    <v>British Columbia</v>
    <v>7</v>
    <v>8</v>
    <v>Map</v>
    <v>9</v>
    <v>10</v>
    <v>CA-BC</v>
    <v>20</v>
    <v>21</v>
    <v>22</v>
    <v>4</v>
    <v>British Columbia is the westernmost province of Canada. Situated between the Pacific Ocean and the Rocky Mountains, the province has a diverse geography, with rugged landscapes that include rocky coastlines, sandy beaches, forests, lakes, ...</v>
    <v>23</v>
    <v>24</v>
    <v>25</v>
    <v>26</v>
    <v>29</v>
    <v>30</v>
    <v>31</v>
    <v>British Columbia</v>
    <v>32</v>
    <v>33</v>
    <v>34</v>
    <v>35</v>
    <v>British Columbia</v>
    <v>mdp/vdpid/4934</v>
  </rv>
  <rv s="0">
    <v>536870912</v>
    <v>Manitoba</v>
    <v>21c9c883-dcc4-1490-a815-79c6eb525369</v>
    <v>en-CA</v>
    <v>Map</v>
  </rv>
  <rv s="1">
    <fb>647797</fb>
    <v>11</v>
  </rv>
  <rv s="1">
    <fb>179222</fb>
    <v>11</v>
  </rv>
  <rv s="0">
    <v>536870912</v>
    <v>Winnipeg</v>
    <v>c6d83906-6502-91c0-1d62-5dbd767a4bbf</v>
    <v>en-CA</v>
    <v>Map</v>
  </rv>
  <rv s="1">
    <fb>489050</fb>
    <v>11</v>
  </rv>
  <rv s="2">
    <v>2</v>
    <v>9</v>
    <v>19</v>
    <v>7</v>
    <v>0</v>
    <v>Image of Manitoba</v>
  </rv>
  <rv s="0">
    <v>805306368</v>
    <v>Anita Neville (Lieutenant governor)</v>
    <v>6fec39d8-c729-0f9a-2ff3-8a2a9de48266</v>
    <v>en-CA</v>
    <v>Generic</v>
  </rv>
  <rv s="0">
    <v>805306368</v>
    <v>Wab Kinew (Premier)</v>
    <v>cce53cff-f3d3-4498-8de5-3e9257781dc0</v>
    <v>en-CA</v>
    <v>Generic</v>
  </rv>
  <rv s="3">
    <v>6</v>
  </rv>
  <rv s="4">
    <v>https://www.bing.com/search?q=manitoba&amp;form=skydnc</v>
    <v>Learn more on Bing</v>
  </rv>
  <rv s="1">
    <fb>78110</fb>
    <v>12</v>
  </rv>
  <rv s="1">
    <fb>2.5</fb>
    <v>13</v>
  </rv>
  <rv s="1">
    <fb>1343371</fb>
    <v>11</v>
  </rv>
  <rv s="3">
    <v>7</v>
  </rv>
  <rv s="5">
    <v>#VALUE!</v>
    <v>en-CA</v>
    <v>21c9c883-dcc4-1490-a815-79c6eb525369</v>
    <v>536870912</v>
    <v>1</v>
    <v>23</v>
    <v>5</v>
    <v>Manitoba</v>
    <v>7</v>
    <v>8</v>
    <v>Map</v>
    <v>9</v>
    <v>10</v>
    <v>CA-MB</v>
    <v>38</v>
    <v>39</v>
    <v>40</v>
    <v>4</v>
    <v>Manitoba is a province of Canada at the longitudinal centre of the country. It is Canada's fifth-most populous province, with a population of 1,342,153 as of 2021. Manitoba has a widely varied landscape, from arctic tundra and the Hudson Bay ...</v>
    <v>41</v>
    <v>41</v>
    <v>42</v>
    <v>40</v>
    <v>45</v>
    <v>46</v>
    <v>47</v>
    <v>Manitoba</v>
    <v>32</v>
    <v>48</v>
    <v>49</v>
    <v>50</v>
    <v>Manitoba</v>
    <v>mdp/vdpid/20110</v>
  </rv>
  <rv s="0">
    <v>536870912</v>
    <v>New Brunswick</v>
    <v>ed967bed-da27-9206-2407-d4e698015192</v>
    <v>en-CA</v>
    <v>Map</v>
  </rv>
  <rv s="1">
    <fb>72908</fb>
    <v>11</v>
  </rv>
  <rv s="1">
    <fb>28197</fb>
    <v>11</v>
  </rv>
  <rv s="0">
    <v>536870912</v>
    <v>Fredericton</v>
    <v>f8277c80-664a-fe91-f942-cedf5e0f493d</v>
    <v>en-CA</v>
    <v>Map</v>
  </rv>
  <rv s="1">
    <fb>319770</fb>
    <v>11</v>
  </rv>
  <rv s="1">
    <fb>319773</fb>
    <v>11</v>
  </rv>
  <rv s="2">
    <v>3</v>
    <v>9</v>
    <v>24</v>
    <v>7</v>
    <v>0</v>
    <v>Image of New Brunswick</v>
  </rv>
  <rv s="0">
    <v>536870912</v>
    <v>Moncton</v>
    <v>d55df709-f936-f551-544b-e6d0c1f6ad49</v>
    <v>en-CA</v>
    <v>Map</v>
  </rv>
  <rv s="0">
    <v>805306368</v>
    <v>Brenda Murphy (Lieutenant governor)</v>
    <v>cb955603-9b2b-c47b-e278-f8059d082971</v>
    <v>en-CA</v>
    <v>Generic</v>
  </rv>
  <rv s="0">
    <v>805306368</v>
    <v>Blaine Higgs (Premier)</v>
    <v>40d4a23a-5b0a-e3fc-581d-7887648e5487</v>
    <v>en-CA</v>
    <v>Generic</v>
  </rv>
  <rv s="3">
    <v>8</v>
  </rv>
  <rv s="4">
    <v>https://www.bing.com/search?q=new+brunswick+canada&amp;form=skydnc</v>
    <v>Learn more on Bing</v>
  </rv>
  <rv s="1">
    <fb>72330</fb>
    <v>12</v>
  </rv>
  <rv s="3">
    <v>9</v>
  </rv>
  <rv s="1">
    <fb>2.2999999999999998</fb>
    <v>13</v>
  </rv>
  <rv s="1">
    <fb>760868</fb>
    <v>11</v>
  </rv>
  <rv s="3">
    <v>10</v>
  </rv>
  <rv s="5">
    <v>#VALUE!</v>
    <v>en-CA</v>
    <v>ed967bed-da27-9206-2407-d4e698015192</v>
    <v>536870912</v>
    <v>1</v>
    <v>28</v>
    <v>5</v>
    <v>New Brunswick</v>
    <v>7</v>
    <v>8</v>
    <v>Map</v>
    <v>9</v>
    <v>10</v>
    <v>CA-NB</v>
    <v>53</v>
    <v>54</v>
    <v>55</v>
    <v>4</v>
    <v>New Brunswick is one of the thirteen provinces and territories of Canada. It is one of the three Maritime provinces and one of the four Atlantic provinces. It is the only province with both English and French as its official languages.</v>
    <v>56</v>
    <v>57</v>
    <v>58</v>
    <v>59</v>
    <v>62</v>
    <v>63</v>
    <v>64</v>
    <v>New Brunswick</v>
    <v>65</v>
    <v>66</v>
    <v>67</v>
    <v>68</v>
    <v>New Brunswick</v>
    <v>mdp/vdpid/23074</v>
  </rv>
  <rv s="0">
    <v>536870912</v>
    <v>Newfoundland and Labrador</v>
    <v>895215e2-2c65-6494-fa6a-1f441a39ac4f</v>
    <v>en-CA</v>
    <v>Map</v>
  </rv>
  <rv s="1">
    <fb>405212</fb>
    <v>11</v>
  </rv>
  <rv s="1">
    <fb>43695</fb>
    <v>11</v>
  </rv>
  <rv s="0">
    <v>536870912</v>
    <v>St. John's</v>
    <v>f928b84d-c792-138a-f27b-f9f42af7a47e</v>
    <v>en-CA</v>
    <v>Map</v>
  </rv>
  <rv s="1">
    <fb>218675</fb>
    <v>11</v>
  </rv>
  <rv s="1">
    <fb>218673</fb>
    <v>11</v>
  </rv>
  <rv s="2">
    <v>4</v>
    <v>9</v>
    <v>29</v>
    <v>7</v>
    <v>0</v>
    <v>Image of Newfoundland and Labrador</v>
  </rv>
  <rv s="0">
    <v>805306368</v>
    <v>Joan Marie Aylward (Lieutenant governor)</v>
    <v>66ce73f4-736a-65f8-2bfc-24990e9072fa</v>
    <v>en-CA</v>
    <v>Generic</v>
  </rv>
  <rv s="0">
    <v>805306368</v>
    <v>Andrew Furey (Premier)</v>
    <v>f3c31194-3e7f-8440-f3bc-7d982439dd1e</v>
    <v>en-CA</v>
    <v>Generic</v>
  </rv>
  <rv s="3">
    <v>11</v>
  </rv>
  <rv s="4">
    <v>https://www.bing.com/search?q=newfoundland+and+labrador&amp;form=skydnc</v>
    <v>Learn more on Bing</v>
  </rv>
  <rv s="1">
    <fb>78960</fb>
    <v>12</v>
  </rv>
  <rv s="1">
    <fb>510550</fb>
    <v>11</v>
  </rv>
  <rv s="3">
    <v>12</v>
  </rv>
  <rv s="5">
    <v>#VALUE!</v>
    <v>en-CA</v>
    <v>895215e2-2c65-6494-fa6a-1f441a39ac4f</v>
    <v>536870912</v>
    <v>1</v>
    <v>33</v>
    <v>5</v>
    <v>Newfoundland and Labrador</v>
    <v>7</v>
    <v>8</v>
    <v>Map</v>
    <v>9</v>
    <v>34</v>
    <v>CA-NL</v>
    <v>71</v>
    <v>72</v>
    <v>73</v>
    <v>4</v>
    <v>Newfoundland and Labrador is the easternmost province of Canada, in the country's Atlantic region. The province comprises the island of Newfoundland and the continental region of Labrador, having a total size of 405,212 square kilometres. In ...</v>
    <v>74</v>
    <v>75</v>
    <v>76</v>
    <v>73</v>
    <v>79</v>
    <v>80</v>
    <v>81</v>
    <v>Newfoundland and Labrador</v>
    <v>14</v>
    <v>66</v>
    <v>82</v>
    <v>83</v>
    <v>Newfoundland and Labrador</v>
    <v>mdp/vdpid/23204</v>
  </rv>
  <rv s="0">
    <v>536870912</v>
    <v>Nova Scotia</v>
    <v>baa4aedd-bbb6-989e-cba4-ec2c9bdd906a</v>
    <v>en-CA</v>
    <v>Map</v>
  </rv>
  <rv s="1">
    <fb>55283</fb>
    <v>11</v>
  </rv>
  <rv s="1">
    <fb>64792</fb>
    <v>11</v>
  </rv>
  <rv s="0">
    <v>536870912</v>
    <v>Halifax</v>
    <v>e2ceb648-04df-949d-c24e-15b3bcca0f4d</v>
    <v>en-CA</v>
    <v>Map</v>
  </rv>
  <rv s="1">
    <fb>401990</fb>
    <v>11</v>
  </rv>
  <rv s="2">
    <v>5</v>
    <v>9</v>
    <v>35</v>
    <v>7</v>
    <v>0</v>
    <v>Image of Nova Scotia</v>
  </rv>
  <rv s="0">
    <v>805306368</v>
    <v>Arthur LeBlanc (Lieutenant governor)</v>
    <v>cc7ea11d-575b-9a50-8338-21a331494ee4</v>
    <v>en-CA</v>
    <v>Generic</v>
  </rv>
  <rv s="0">
    <v>805306368</v>
    <v>Tim Houston (Premier)</v>
    <v>5e57ac2c-caaf-af67-0ef4-6898a198db7e</v>
    <v>en-CA</v>
    <v>Generic</v>
  </rv>
  <rv s="3">
    <v>13</v>
  </rv>
  <rv s="4">
    <v>https://www.bing.com/search?q=nova+scotia&amp;form=skydnc</v>
    <v>Learn more on Bing</v>
  </rv>
  <rv s="1">
    <fb>74590</fb>
    <v>12</v>
  </rv>
  <rv s="3">
    <v>14</v>
  </rv>
  <rv s="1">
    <fb>1030953</fb>
    <v>11</v>
  </rv>
  <rv s="5">
    <v>#VALUE!</v>
    <v>en-CA</v>
    <v>baa4aedd-bbb6-989e-cba4-ec2c9bdd906a</v>
    <v>536870912</v>
    <v>1</v>
    <v>39</v>
    <v>5</v>
    <v>Nova Scotia</v>
    <v>7</v>
    <v>8</v>
    <v>Map</v>
    <v>9</v>
    <v>40</v>
    <v>CA-NS</v>
    <v>86</v>
    <v>87</v>
    <v>88</v>
    <v>4</v>
    <v>Nova Scotia is one of the thirteen provinces and territories of Canada. It is one of the three Maritime provinces and one of the four Atlantic provinces. Nova Scotia is Latin for "New Scotland". Most of the population are native ...</v>
    <v>89</v>
    <v>89</v>
    <v>90</v>
    <v>88</v>
    <v>93</v>
    <v>94</v>
    <v>95</v>
    <v>Nova Scotia</v>
    <v>96</v>
    <v>66</v>
    <v>97</v>
    <v>68</v>
    <v>Nova Scotia</v>
    <v>mdp/vdpid/23841</v>
  </rv>
  <rv s="0">
    <v>536870912</v>
    <v>Ontario</v>
    <v>070ad921-224a-9ed5-6fe1-8eab57b4b2e7</v>
    <v>en-CA</v>
    <v>Map</v>
  </rv>
  <rv s="1">
    <fb>1076395</fb>
    <v>11</v>
  </rv>
  <rv s="1">
    <fb>2498691</fb>
    <v>11</v>
  </rv>
  <rv s="0">
    <v>536870912</v>
    <v>Toronto</v>
    <v>e9c1d78f-effd-4cbf-af56-ce709763b200</v>
    <v>en-CA</v>
    <v>Map</v>
  </rv>
  <rv s="1">
    <fb>5169175</fb>
    <v>11</v>
  </rv>
  <rv s="1">
    <fb>5169174</fb>
    <v>11</v>
  </rv>
  <rv s="2">
    <v>6</v>
    <v>9</v>
    <v>41</v>
    <v>7</v>
    <v>0</v>
    <v>Image of Ontario</v>
  </rv>
  <rv s="0">
    <v>805306368</v>
    <v>Edith Dumont (Lieutenant governor)</v>
    <v>37e7af50-0cdf-8d6c-4067-735d25b2838d</v>
    <v>en-CA</v>
    <v>Generic</v>
  </rv>
  <rv s="0">
    <v>805306368</v>
    <v>Doug Ford (Premier)</v>
    <v>a00bb1b1-ce9d-bf65-c540-5e730be40cb9</v>
    <v>en-CA</v>
    <v>Generic</v>
  </rv>
  <rv s="3">
    <v>15</v>
  </rv>
  <rv s="4">
    <v>https://www.bing.com/search?q=ontario+canada&amp;form=skydnc</v>
    <v>Learn more on Bing</v>
  </rv>
  <rv s="1">
    <fb>83160</fb>
    <v>12</v>
  </rv>
  <rv s="3">
    <v>16</v>
  </rv>
  <rv s="1">
    <fb>14733119</fb>
    <v>11</v>
  </rv>
  <rv s="3">
    <v>17</v>
  </rv>
  <rv s="5">
    <v>#VALUE!</v>
    <v>en-CA</v>
    <v>070ad921-224a-9ed5-6fe1-8eab57b4b2e7</v>
    <v>536870912</v>
    <v>1</v>
    <v>44</v>
    <v>5</v>
    <v>Ontario</v>
    <v>7</v>
    <v>8</v>
    <v>Map</v>
    <v>9</v>
    <v>45</v>
    <v>CA-ON</v>
    <v>100</v>
    <v>101</v>
    <v>102</v>
    <v>4</v>
    <v>Ontario is one of the thirteen provinces and territories of Canada. Located in Central Canada, Ontario is the country's most populous province. As of the 2021 Canadian census, it is home to 38.5 percent of the country's population, and is the ...</v>
    <v>103</v>
    <v>104</v>
    <v>105</v>
    <v>102</v>
    <v>108</v>
    <v>109</v>
    <v>110</v>
    <v>Ontario</v>
    <v>111</v>
    <v>15</v>
    <v>112</v>
    <v>113</v>
    <v>Ontario</v>
    <v>mdp/vdpid/24465</v>
  </rv>
  <rv s="0">
    <v>536870912</v>
    <v>Prince Edward Island</v>
    <v>4e4aadcb-4928-0762-e307-bc01ba8f3dfb</v>
    <v>en-CA</v>
    <v>Map</v>
  </rv>
  <rv s="1">
    <fb>5620</fb>
    <v>11</v>
  </rv>
  <rv s="1">
    <fb>13647</fb>
    <v>11</v>
  </rv>
  <rv s="0">
    <v>536870912</v>
    <v>Charlottetown</v>
    <v>a71f3152-8816-b77c-a9e5-8e3397eac472</v>
    <v>en-CA</v>
    <v>Map</v>
  </rv>
  <rv s="1">
    <fb>59470</fb>
    <v>11</v>
  </rv>
  <rv s="1">
    <fb>59472</fb>
    <v>11</v>
  </rv>
  <rv s="2">
    <v>7</v>
    <v>9</v>
    <v>46</v>
    <v>7</v>
    <v>0</v>
    <v>Image of Prince Edward Island</v>
  </rv>
  <rv s="0">
    <v>805306368</v>
    <v>Antoinette Perry (Lieutenant governor)</v>
    <v>924df195-4cb7-b469-984a-16b4a98e3efc</v>
    <v>en-CA</v>
    <v>Generic</v>
  </rv>
  <rv s="0">
    <v>805306368</v>
    <v>Dennis King (Premier)</v>
    <v>1e1750d1-614d-6828-4c0d-fe656a7ceb25</v>
    <v>en-CA</v>
    <v>Generic</v>
  </rv>
  <rv s="3">
    <v>18</v>
  </rv>
  <rv s="4">
    <v>https://www.bing.com/search?q=prince+edward+island+canada&amp;form=skydnc</v>
    <v>Learn more on Bing</v>
  </rv>
  <rv s="1">
    <fb>75090</fb>
    <v>12</v>
  </rv>
  <rv s="1">
    <fb>152784</fb>
    <v>11</v>
  </rv>
  <rv s="5">
    <v>#VALUE!</v>
    <v>en-CA</v>
    <v>4e4aadcb-4928-0762-e307-bc01ba8f3dfb</v>
    <v>536870912</v>
    <v>1</v>
    <v>50</v>
    <v>5</v>
    <v>Prince Edward Island</v>
    <v>7</v>
    <v>8</v>
    <v>Map</v>
    <v>9</v>
    <v>10</v>
    <v>CA-PE</v>
    <v>116</v>
    <v>117</v>
    <v>118</v>
    <v>4</v>
    <v>Prince Edward Island is one of the thirteen provinces and territories of Canada. While it is the smallest province in terms of land area and population, it is the most densely populated. The island has several nicknames: "Garden of the Gulf", ...</v>
    <v>119</v>
    <v>120</v>
    <v>121</v>
    <v>118</v>
    <v>124</v>
    <v>125</v>
    <v>126</v>
    <v>Prince Edward Island</v>
    <v>32</v>
    <v>66</v>
    <v>127</v>
    <v>68</v>
    <v>Prince Edward Island</v>
    <v>mdp/vdpid/26704</v>
  </rv>
  <rv s="0">
    <v>536870912</v>
    <v>Quebec</v>
    <v>32da1fe8-6bb5-f40e-e008-82becf7ef390</v>
    <v>en-CA</v>
    <v>Map</v>
  </rv>
  <rv s="1">
    <fb>1542056</fb>
    <v>11</v>
  </rv>
  <rv s="1">
    <fb>1049386</fb>
    <v>11</v>
  </rv>
  <rv s="0">
    <v>536870912</v>
    <v>Quebec City</v>
    <v>8a8e64f6-510b-8816-6d69-6b5a37c533d8</v>
    <v>en-CA</v>
    <v>Map</v>
  </rv>
  <rv s="1">
    <fb>3531660</fb>
    <v>11</v>
  </rv>
  <rv s="1">
    <fb>3531663</fb>
    <v>11</v>
  </rv>
  <rv s="2">
    <v>8</v>
    <v>9</v>
    <v>51</v>
    <v>7</v>
    <v>0</v>
    <v>Image of Quebec</v>
  </rv>
  <rv s="0">
    <v>536870912</v>
    <v>Montreal</v>
    <v>bf31f6ec-acd1-2e01-932b-c5c78c45d051</v>
    <v>en-CA</v>
    <v>Map</v>
  </rv>
  <rv s="0">
    <v>805306368</v>
    <v>J. Michel Doyon (Lieutenant governor)</v>
    <v>8a85fa42-95f9-ae56-37e6-eb632bbed3cd</v>
    <v>en-CA</v>
    <v>Generic</v>
  </rv>
  <rv s="0">
    <v>805306368</v>
    <v>François Legault (Premier)</v>
    <v>25235afc-3969-c14e-9e7f-0bcb0c65d62a</v>
    <v>en-CA</v>
    <v>Generic</v>
  </rv>
  <rv s="3">
    <v>19</v>
  </rv>
  <rv s="4">
    <v>https://www.bing.com/search?q=quebec+canada&amp;form=skydnc</v>
    <v>Learn more on Bing</v>
  </rv>
  <rv s="1">
    <fb>77670</fb>
    <v>12</v>
  </rv>
  <rv s="3">
    <v>20</v>
  </rv>
  <rv s="1">
    <fb>8501833</fb>
    <v>11</v>
  </rv>
  <rv s="3">
    <v>21</v>
  </rv>
  <rv s="5">
    <v>#VALUE!</v>
    <v>en-CA</v>
    <v>32da1fe8-6bb5-f40e-e008-82becf7ef390</v>
    <v>536870912</v>
    <v>1</v>
    <v>54</v>
    <v>5</v>
    <v>Quebec</v>
    <v>7</v>
    <v>8</v>
    <v>Map</v>
    <v>9</v>
    <v>34</v>
    <v>CA-QC</v>
    <v>130</v>
    <v>131</v>
    <v>132</v>
    <v>4</v>
    <v>Quebec is one of the thirteen provinces and territories of Canada. It is the largest province by area and the second-largest by population. Much of the population of Quebec lives in urban areas along the St. Lawrence River, between its most ...</v>
    <v>133</v>
    <v>134</v>
    <v>135</v>
    <v>136</v>
    <v>139</v>
    <v>140</v>
    <v>141</v>
    <v>Quebec</v>
    <v>142</v>
    <v>66</v>
    <v>143</v>
    <v>144</v>
    <v>Quebec</v>
    <v>mdp/vdpid/27068</v>
  </rv>
  <rv s="0">
    <v>536870912</v>
    <v>Saskatchewan</v>
    <v>ec7108bb-bd34-c969-f3f2-2a9eed70102e</v>
    <v>en-CA</v>
    <v>Map</v>
  </rv>
  <rv s="1">
    <fb>651900</fb>
    <v>11</v>
  </rv>
  <rv s="1">
    <fb>174998</fb>
    <v>11</v>
  </rv>
  <rv s="0">
    <v>536870912</v>
    <v>Regina</v>
    <v>0937de1e-ca75-1989-ae63-6f754c1e84a4</v>
    <v>en-CA</v>
    <v>Map</v>
  </rv>
  <rv s="1">
    <fb>432620</fb>
    <v>11</v>
  </rv>
  <rv s="1">
    <fb>432622</fb>
    <v>11</v>
  </rv>
  <rv s="2">
    <v>9</v>
    <v>9</v>
    <v>55</v>
    <v>7</v>
    <v>0</v>
    <v>Image of Saskatchewan</v>
  </rv>
  <rv s="0">
    <v>536870912</v>
    <v>Saskatoon</v>
    <v>f9cbf080-4c2a-523d-34c7-8198e3a2b51c</v>
    <v>en-CA</v>
    <v>Map</v>
  </rv>
  <rv s="0">
    <v>805306368</v>
    <v>Russell Mirasty (Lieutenant governor)</v>
    <v>b8347ea0-014e-d9c0-25af-22341a86cbef</v>
    <v>en-CA</v>
    <v>Generic</v>
  </rv>
  <rv s="0">
    <v>805306368</v>
    <v>Scott Moe (Premier)</v>
    <v>2b08c9e9-7cf8-40f6-f38e-c0b7e98d6d2a</v>
    <v>en-CA</v>
    <v>Generic</v>
  </rv>
  <rv s="3">
    <v>22</v>
  </rv>
  <rv s="4">
    <v>https://www.bing.com/search?q=saskatchewan&amp;form=skydnc</v>
    <v>Learn more on Bing</v>
  </rv>
  <rv s="1">
    <fb>85820</fb>
    <v>12</v>
  </rv>
  <rv s="1">
    <fb>1168057</fb>
    <v>11</v>
  </rv>
  <rv s="3">
    <v>23</v>
  </rv>
  <rv s="5">
    <v>#VALUE!</v>
    <v>en-CA</v>
    <v>ec7108bb-bd34-c969-f3f2-2a9eed70102e</v>
    <v>536870912</v>
    <v>1</v>
    <v>59</v>
    <v>5</v>
    <v>Saskatchewan</v>
    <v>7</v>
    <v>8</v>
    <v>Map</v>
    <v>9</v>
    <v>10</v>
    <v>CA-SK</v>
    <v>147</v>
    <v>148</v>
    <v>149</v>
    <v>4</v>
    <v>Saskatchewan is a province in Western Canada, bordered on the west by Alberta, on the north by the Northwest Territories, on the east by Manitoba, to the northeast by Nunavut, and on the south by the United States. Saskatchewan and Alberta are ...</v>
    <v>150</v>
    <v>151</v>
    <v>152</v>
    <v>153</v>
    <v>156</v>
    <v>157</v>
    <v>158</v>
    <v>Saskatchewan</v>
    <v>32</v>
    <v>48</v>
    <v>159</v>
    <v>160</v>
    <v>Saskatchewan</v>
    <v>mdp/vdpid/29926</v>
  </rv>
  <rv s="3">
    <v>24</v>
  </rv>
  <rv s="6">
    <v>{83CE6BB5-2BF1-4474-A2DB-E2B09F5E388E}</v>
    <v>0</v>
    <v>60</v>
    <v>162</v>
  </rv>
</rvData>
</file>

<file path=xl/richData/rdrichvaluestructure.xml><?xml version="1.0" encoding="utf-8"?>
<rvStructures xmlns="http://schemas.microsoft.com/office/spreadsheetml/2017/richdata" count="7">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apital/Major City" t="r"/>
    <k n="Country/region" t="r"/>
    <k n="Description" t="s"/>
    <k n="Households" t="r"/>
    <k n="Housing units" t="r"/>
    <k n="Image" t="r"/>
    <k n="Largest city" t="r"/>
    <k n="Leader(s)" t="r"/>
    <k n="LearnMoreOnLink" t="r"/>
    <k n="Median household income" t="r"/>
    <k n="Name" t="s"/>
    <k n="Official language" t="r"/>
    <k n="Persons per household" t="r"/>
    <k n="Population" t="r"/>
    <k n="Time zone(s)" t="r"/>
    <k n="UniqueName" t="s"/>
    <k n="VDPID/VSID" t="s"/>
  </s>
  <s t="_datasourcecontainer">
    <k n="%XLUID" t="s"/>
    <k n="_CRID" t="i"/>
    <k n="_Display" t="spb"/>
    <k n="state" t="r"/>
  </s>
</rvStructures>
</file>

<file path=xl/richData/rdsupportingpropertybag.xml><?xml version="1.0" encoding="utf-8"?>
<supportingPropertyBags xmlns="http://schemas.microsoft.com/office/spreadsheetml/2017/richdata2">
  <spbArrays count="2">
    <a count="32">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Households</v>
      <v t="s">Housing units</v>
      <v t="s">Persons per household</v>
      <v t="s">Median household income</v>
      <v t="s">Building permits</v>
      <v t="s">Time zone(s)</v>
      <v t="s">_Flags</v>
      <v t="s">VDPID/VSID</v>
      <v t="s">UniqueName</v>
      <v t="s">_DisplayString</v>
      <v t="s">LearnMoreOnLink</v>
      <v t="s">Image</v>
      <v t="s">Description</v>
    </a>
    <a count="4">
      <v t="s">state</v>
      <v t="s">_CRID</v>
      <v t="s">%XLUID</v>
      <v t="s">_Display</v>
    </a>
  </spbArrays>
  <spbData count="61">
    <spb s="0">
      <v xml:space="preserve">Wikipedia	</v>
      <v xml:space="preserve">CC BY-SA 3.0	</v>
      <v xml:space="preserve">https://en.wikipedia.org/wiki/Alberta	</v>
      <v xml:space="preserve">https://creativecommons.org/licenses/by-sa/3.0	</v>
    </spb>
    <spb s="0">
      <v xml:space="preserve">Wikipedia	</v>
      <v xml:space="preserve">CC-BY-SA	</v>
      <v xml:space="preserve">https://en.wikipedia.org/wiki/Alberta	</v>
      <v xml:space="preserve">http://creativecommons.org/licenses/by-sa/3.0/	</v>
    </spb>
    <spb s="0">
      <v xml:space="preserve">Wikipedia	</v>
      <v xml:space="preserve">CC-BY-SA	</v>
      <v xml:space="preserve">http://en.wikipedia.org/wiki/Alberta	</v>
      <v xml:space="preserve">http://creativecommons.org/licenses/by-sa/3.0/	</v>
    </spb>
    <spb s="0">
      <v xml:space="preserve">Wikipedia	Wikipedia	</v>
      <v xml:space="preserve">CC-BY-SA	CC-BY-SA	</v>
      <v xml:space="preserve">http://en.wikipedia.org/wiki/Alberta	https://en.wikipedia.org/wiki/Alberta	</v>
      <v xml:space="preserve">http://creativecommons.org/licenses/by-sa/3.0/	http://creativecommons.org/licenses/by-sa/3.0/	</v>
    </spb>
    <spb s="1">
      <v>0</v>
      <v>0</v>
      <v>1</v>
      <v>0</v>
      <v>0</v>
      <v>0</v>
      <v>2</v>
      <v>0</v>
      <v>1</v>
      <v>0</v>
      <v>1</v>
      <v>0</v>
      <v>1</v>
      <v>3</v>
    </spb>
    <spb s="2">
      <v>0</v>
      <v>Name</v>
      <v>LearnMoreOnLink</v>
    </spb>
    <spb s="3">
      <v>0</v>
      <v>0</v>
      <v>0</v>
    </spb>
    <spb s="4">
      <v>6</v>
      <v>6</v>
      <v>6</v>
    </spb>
    <spb s="5">
      <v>1</v>
      <v>2</v>
    </spb>
    <spb s="6">
      <v>https://www.bing.com</v>
      <v>https://www.bing.com/th?id=Ga%5Cbing_yt.png&amp;w=100&amp;h=40&amp;c=0&amp;pid=0.1</v>
      <v>Powered by Bing</v>
    </spb>
    <spb s="7">
      <v>square km</v>
      <v>2016</v>
      <v>2017</v>
      <v>2016</v>
      <v>2017-12</v>
      <v>2016</v>
      <v>2016</v>
    </spb>
    <spb s="8">
      <v>3</v>
    </spb>
    <spb s="8">
      <v>4</v>
    </spb>
    <spb s="8">
      <v>5</v>
    </spb>
    <spb s="0">
      <v xml:space="preserve">Wikipedia	</v>
      <v xml:space="preserve">CC BY-SA 3.0	</v>
      <v xml:space="preserve">https://en.wikipedia.org/wiki/British_Columbia	</v>
      <v xml:space="preserve">https://creativecommons.org/licenses/by-sa/3.0	</v>
    </spb>
    <spb s="0">
      <v xml:space="preserve">www150.statcan.gc.ca	</v>
      <v xml:space="preserve">	</v>
      <v xml:space="preserve">https://www150.statcan.gc.ca/t1/tbl1/en/tv.action?pid=3410000301	</v>
      <v xml:space="preserve">	</v>
    </spb>
    <spb s="0">
      <v xml:space="preserve">Wikipedia	</v>
      <v xml:space="preserve">CC-BY-SA	</v>
      <v xml:space="preserve">http://en.wikipedia.org/wiki/British_Columbia	</v>
      <v xml:space="preserve">http://creativecommons.org/licenses/by-sa/3.0/	</v>
    </spb>
    <spb s="0">
      <v xml:space="preserve">Wikipedia	www150.statcan.gc.ca	</v>
      <v xml:space="preserve">CC-BY-SA		</v>
      <v xml:space="preserve">http://en.wikipedia.org/wiki/British_Columbia	https://www150.statcan.gc.ca/t1/tbl1/en/tv.action?pid=3410000301	</v>
      <v xml:space="preserve">http://creativecommons.org/licenses/by-sa/3.0/		</v>
    </spb>
    <spb s="1">
      <v>14</v>
      <v>14</v>
      <v>15</v>
      <v>14</v>
      <v>14</v>
      <v>14</v>
      <v>16</v>
      <v>14</v>
      <v>15</v>
      <v>14</v>
      <v>15</v>
      <v>14</v>
      <v>15</v>
      <v>17</v>
    </spb>
    <spb s="0">
      <v xml:space="preserve">Wikipedia	</v>
      <v xml:space="preserve">CC BY-SA 3.0	</v>
      <v xml:space="preserve">https://en.wikipedia.org/wiki/Manitoba	</v>
      <v xml:space="preserve">https://creativecommons.org/licenses/by-sa/3.0	</v>
    </spb>
    <spb s="0">
      <v xml:space="preserve">Wikipedia	</v>
      <v xml:space="preserve">CC-BY-SA	</v>
      <v xml:space="preserve">https://en.wikipedia.org/wiki/Manitoba	</v>
      <v xml:space="preserve">http://creativecommons.org/licenses/by-sa/3.0/	</v>
    </spb>
    <spb s="0">
      <v xml:space="preserve">Wikipedia	</v>
      <v xml:space="preserve">CC-BY-SA	</v>
      <v xml:space="preserve">http://en.wikipedia.org/wiki/Manitoba	</v>
      <v xml:space="preserve">http://creativecommons.org/licenses/by-sa/3.0/	</v>
    </spb>
    <spb s="0">
      <v xml:space="preserve">Wikipedia	Wikipedia	</v>
      <v xml:space="preserve">CC-BY-SA	CC-BY-SA	</v>
      <v xml:space="preserve">http://en.wikipedia.org/wiki/Manitoba	https://en.wikipedia.org/wiki/Manitoba	</v>
      <v xml:space="preserve">http://creativecommons.org/licenses/by-sa/3.0/	http://creativecommons.org/licenses/by-sa/3.0/	</v>
    </spb>
    <spb s="1">
      <v>19</v>
      <v>19</v>
      <v>20</v>
      <v>19</v>
      <v>19</v>
      <v>19</v>
      <v>21</v>
      <v>19</v>
      <v>20</v>
      <v>19</v>
      <v>20</v>
      <v>19</v>
      <v>20</v>
      <v>22</v>
    </spb>
    <spb s="0">
      <v xml:space="preserve">Wikipedia	</v>
      <v xml:space="preserve">CC BY-SA 3.0	</v>
      <v xml:space="preserve">https://en.wikipedia.org/wiki/New_Brunswick	</v>
      <v xml:space="preserve">https://creativecommons.org/licenses/by-sa/3.0	</v>
    </spb>
    <spb s="0">
      <v xml:space="preserve">Wikipedia	</v>
      <v xml:space="preserve">CC-BY-SA	</v>
      <v xml:space="preserve">https://en.wikipedia.org/wiki/New_Brunswick	</v>
      <v xml:space="preserve">http://creativecommons.org/licenses/by-sa/3.0/	</v>
    </spb>
    <spb s="0">
      <v xml:space="preserve">Wikipedia	</v>
      <v xml:space="preserve">CC-BY-SA	</v>
      <v xml:space="preserve">http://en.wikipedia.org/wiki/New_Brunswick	</v>
      <v xml:space="preserve">http://creativecommons.org/licenses/by-sa/3.0/	</v>
    </spb>
    <spb s="0">
      <v xml:space="preserve">Wikipedia	Wikipedia	</v>
      <v xml:space="preserve">CC-BY-SA	CC-BY-SA	</v>
      <v xml:space="preserve">http://en.wikipedia.org/wiki/New_Brunswick	https://en.wikipedia.org/wiki/New_Brunswick	</v>
      <v xml:space="preserve">http://creativecommons.org/licenses/by-sa/3.0/	http://creativecommons.org/licenses/by-sa/3.0/	</v>
    </spb>
    <spb s="1">
      <v>24</v>
      <v>24</v>
      <v>25</v>
      <v>24</v>
      <v>24</v>
      <v>24</v>
      <v>26</v>
      <v>24</v>
      <v>25</v>
      <v>24</v>
      <v>25</v>
      <v>24</v>
      <v>25</v>
      <v>27</v>
    </spb>
    <spb s="0">
      <v xml:space="preserve">Wikipedia	</v>
      <v xml:space="preserve">CC BY-SA 3.0	</v>
      <v xml:space="preserve">https://en.wikipedia.org/wiki/Newfoundland_and_Labrador	</v>
      <v xml:space="preserve">https://creativecommons.org/licenses/by-sa/3.0	</v>
    </spb>
    <spb s="0">
      <v xml:space="preserve">Wikipedia	</v>
      <v xml:space="preserve">CC-BY-SA	</v>
      <v xml:space="preserve">https://en.wikipedia.org/wiki/Newfoundland_and_Labrador	</v>
      <v xml:space="preserve">http://creativecommons.org/licenses/by-sa/3.0/	</v>
    </spb>
    <spb s="0">
      <v xml:space="preserve">Wikipedia	</v>
      <v xml:space="preserve">CC-BY-SA	</v>
      <v xml:space="preserve">http://en.wikipedia.org/wiki/Newfoundland_and_Labrador	</v>
      <v xml:space="preserve">http://creativecommons.org/licenses/by-sa/3.0/	</v>
    </spb>
    <spb s="0">
      <v xml:space="preserve">Wikipedia	Wikipedia	</v>
      <v xml:space="preserve">CC-BY-SA	CC-BY-SA	</v>
      <v xml:space="preserve">http://en.wikipedia.org/wiki/Newfoundland_and_Labrador	https://en.wikipedia.org/wiki/Newfoundland_and_Labrador	</v>
      <v xml:space="preserve">http://creativecommons.org/licenses/by-sa/3.0/	http://creativecommons.org/licenses/by-sa/3.0/	</v>
    </spb>
    <spb s="1">
      <v>29</v>
      <v>29</v>
      <v>30</v>
      <v>29</v>
      <v>29</v>
      <v>29</v>
      <v>31</v>
      <v>29</v>
      <v>30</v>
      <v>29</v>
      <v>30</v>
      <v>29</v>
      <v>30</v>
      <v>32</v>
    </spb>
    <spb s="7">
      <v>square km</v>
      <v>2016</v>
      <v>2021</v>
      <v>2016</v>
      <v>2017-12</v>
      <v>2016</v>
      <v>2016</v>
    </spb>
    <spb s="0">
      <v xml:space="preserve">Wikipedia	</v>
      <v xml:space="preserve">CC BY-SA 3.0	</v>
      <v xml:space="preserve">https://en.wikipedia.org/wiki/Nova_Scotia	</v>
      <v xml:space="preserve">https://creativecommons.org/licenses/by-sa/3.0	</v>
    </spb>
    <spb s="0">
      <v xml:space="preserve">Wikipedia	</v>
      <v xml:space="preserve">CC-BY-SA	</v>
      <v xml:space="preserve">https://en.wikipedia.org/wiki/Nova_Scotia	</v>
      <v xml:space="preserve">http://creativecommons.org/licenses/by-sa/3.0/	</v>
    </spb>
    <spb s="0">
      <v xml:space="preserve">Wikipedia	</v>
      <v xml:space="preserve">CC-BY-SA	</v>
      <v xml:space="preserve">http://en.wikipedia.org/wiki/Nova_Scotia	</v>
      <v xml:space="preserve">http://creativecommons.org/licenses/by-sa/3.0/	</v>
    </spb>
    <spb s="0">
      <v xml:space="preserve">Wikipedia	Wikipedia	</v>
      <v xml:space="preserve">CC-BY-SA	CC-BY-SA	</v>
      <v xml:space="preserve">http://en.wikipedia.org/wiki/Nova_Scotia	https://en.wikipedia.org/wiki/Nova_Scotia	</v>
      <v xml:space="preserve">http://creativecommons.org/licenses/by-sa/3.0/	http://creativecommons.org/licenses/by-sa/3.0/	</v>
    </spb>
    <spb s="1">
      <v>35</v>
      <v>35</v>
      <v>36</v>
      <v>35</v>
      <v>35</v>
      <v>35</v>
      <v>37</v>
      <v>35</v>
      <v>36</v>
      <v>35</v>
      <v>36</v>
      <v>35</v>
      <v>36</v>
      <v>38</v>
    </spb>
    <spb s="7">
      <v>square km</v>
      <v>2016</v>
      <v>2022</v>
      <v>2016</v>
      <v>2017-12</v>
      <v>2016</v>
      <v>2016</v>
    </spb>
    <spb s="0">
      <v xml:space="preserve">Wikipedia	</v>
      <v xml:space="preserve">CC BY-SA 3.0	</v>
      <v xml:space="preserve">https://en.wikipedia.org/wiki/Ontario	</v>
      <v xml:space="preserve">https://creativecommons.org/licenses/by-sa/3.0	</v>
    </spb>
    <spb s="0">
      <v xml:space="preserve">Wikipedia	</v>
      <v xml:space="preserve">CC-BY-SA	</v>
      <v xml:space="preserve">http://en.wikipedia.org/wiki/Ontario	</v>
      <v xml:space="preserve">http://creativecommons.org/licenses/by-sa/3.0/	</v>
    </spb>
    <spb s="0">
      <v xml:space="preserve">Wikipedia	www150.statcan.gc.ca	</v>
      <v xml:space="preserve">CC-BY-SA		</v>
      <v xml:space="preserve">http://en.wikipedia.org/wiki/Ontario	https://www150.statcan.gc.ca/t1/tbl1/en/tv.action?pid=3410000301	</v>
      <v xml:space="preserve">http://creativecommons.org/licenses/by-sa/3.0/		</v>
    </spb>
    <spb s="1">
      <v>41</v>
      <v>41</v>
      <v>15</v>
      <v>41</v>
      <v>41</v>
      <v>41</v>
      <v>42</v>
      <v>41</v>
      <v>15</v>
      <v>41</v>
      <v>15</v>
      <v>41</v>
      <v>15</v>
      <v>43</v>
    </spb>
    <spb s="7">
      <v>square km</v>
      <v>2016</v>
      <v>2020</v>
      <v>2016</v>
      <v>2017-12</v>
      <v>2016</v>
      <v>2016</v>
    </spb>
    <spb s="0">
      <v xml:space="preserve">Wikipedia	</v>
      <v xml:space="preserve">CC BY-SA 3.0	</v>
      <v xml:space="preserve">https://en.wikipedia.org/wiki/Prince_Edward_Island	</v>
      <v xml:space="preserve">https://creativecommons.org/licenses/by-sa/3.0	</v>
    </spb>
    <spb s="0">
      <v xml:space="preserve">Wikipedia	</v>
      <v xml:space="preserve">CC-BY-SA	</v>
      <v xml:space="preserve">https://en.wikipedia.org/wiki/Prince_Edward_Island	</v>
      <v xml:space="preserve">http://creativecommons.org/licenses/by-sa/3.0/	</v>
    </spb>
    <spb s="0">
      <v xml:space="preserve">Wikipedia	</v>
      <v xml:space="preserve">CC-BY-SA	</v>
      <v xml:space="preserve">http://en.wikipedia.org/wiki/Prince_Edward_Island	</v>
      <v xml:space="preserve">http://creativecommons.org/licenses/by-sa/3.0/	</v>
    </spb>
    <spb s="0">
      <v xml:space="preserve">Wikipedia	Wikipedia	</v>
      <v xml:space="preserve">CC-BY-SA	CC-BY-SA	</v>
      <v xml:space="preserve">http://en.wikipedia.org/wiki/Prince_Edward_Island	https://en.wikipedia.org/wiki/Prince_Edward_Island	</v>
      <v xml:space="preserve">http://creativecommons.org/licenses/by-sa/3.0/	http://creativecommons.org/licenses/by-sa/3.0/	</v>
    </spb>
    <spb s="1">
      <v>46</v>
      <v>46</v>
      <v>47</v>
      <v>46</v>
      <v>46</v>
      <v>46</v>
      <v>48</v>
      <v>46</v>
      <v>47</v>
      <v>46</v>
      <v>47</v>
      <v>46</v>
      <v>47</v>
      <v>49</v>
    </spb>
    <spb s="0">
      <v xml:space="preserve">Wikipedia	</v>
      <v xml:space="preserve">CC BY-SA 3.0	</v>
      <v xml:space="preserve">https://en.wikipedia.org/wiki/Quebec	</v>
      <v xml:space="preserve">https://creativecommons.org/licenses/by-sa/3.0	</v>
    </spb>
    <spb s="0">
      <v xml:space="preserve">Wikipedia	</v>
      <v xml:space="preserve">CC-BY-SA	</v>
      <v xml:space="preserve">http://en.wikipedia.org/wiki/Quebec	</v>
      <v xml:space="preserve">http://creativecommons.org/licenses/by-sa/3.0/	</v>
    </spb>
    <spb s="0">
      <v xml:space="preserve">Wikipedia	www150.statcan.gc.ca	</v>
      <v xml:space="preserve">CC-BY-SA		</v>
      <v xml:space="preserve">http://en.wikipedia.org/wiki/Quebec	https://www150.statcan.gc.ca/t1/tbl1/en/tv.action?pid=3410000301	</v>
      <v xml:space="preserve">http://creativecommons.org/licenses/by-sa/3.0/		</v>
    </spb>
    <spb s="1">
      <v>51</v>
      <v>51</v>
      <v>15</v>
      <v>51</v>
      <v>51</v>
      <v>51</v>
      <v>52</v>
      <v>51</v>
      <v>15</v>
      <v>51</v>
      <v>15</v>
      <v>51</v>
      <v>15</v>
      <v>53</v>
    </spb>
    <spb s="0">
      <v xml:space="preserve">Wikipedia	</v>
      <v xml:space="preserve">CC BY-SA 3.0	</v>
      <v xml:space="preserve">https://en.wikipedia.org/wiki/Saskatchewan	</v>
      <v xml:space="preserve">https://creativecommons.org/licenses/by-sa/3.0	</v>
    </spb>
    <spb s="0">
      <v xml:space="preserve">Wikipedia	</v>
      <v xml:space="preserve">CC-BY-SA	</v>
      <v xml:space="preserve">https://en.wikipedia.org/wiki/Saskatchewan	</v>
      <v xml:space="preserve">http://creativecommons.org/licenses/by-sa/3.0/	</v>
    </spb>
    <spb s="0">
      <v xml:space="preserve">Wikipedia	</v>
      <v xml:space="preserve">CC-BY-SA	</v>
      <v xml:space="preserve">http://en.wikipedia.org/wiki/Saskatchewan	</v>
      <v xml:space="preserve">http://creativecommons.org/licenses/by-sa/3.0/	</v>
    </spb>
    <spb s="0">
      <v xml:space="preserve">Wikipedia	Wikipedia	</v>
      <v xml:space="preserve">CC-BY-SA	CC-BY-SA	</v>
      <v xml:space="preserve">http://en.wikipedia.org/wiki/Saskatchewan	https://en.wikipedia.org/wiki/Saskatchewan	</v>
      <v xml:space="preserve">http://creativecommons.org/licenses/by-sa/3.0/	http://creativecommons.org/licenses/by-sa/3.0/	</v>
    </spb>
    <spb s="1">
      <v>55</v>
      <v>55</v>
      <v>56</v>
      <v>55</v>
      <v>55</v>
      <v>55</v>
      <v>57</v>
      <v>55</v>
      <v>56</v>
      <v>55</v>
      <v>56</v>
      <v>55</v>
      <v>56</v>
      <v>58</v>
    </spb>
    <spb s="9">
      <v>1</v>
    </spb>
  </spbData>
</supportingPropertyBags>
</file>

<file path=xl/richData/rdsupportingpropertybagstructure.xml><?xml version="1.0" encoding="utf-8"?>
<spbStructures xmlns="http://schemas.microsoft.com/office/spreadsheetml/2017/richdata2" count="10">
  <s>
    <k n="SourceText" t="s"/>
    <k n="LicenseText" t="s"/>
    <k n="SourceAddress" t="s"/>
    <k n="LicenseAddress" t="s"/>
  </s>
  <s>
    <k n="Area" t="spb"/>
    <k n="Name" t="spb"/>
    <k n="Households" t="spb"/>
    <k n="Population" t="spb"/>
    <k n="UniqueName" t="spb"/>
    <k n="Description" t="spb"/>
    <k n="Abbreviation" t="spb"/>
    <k n="Largest city" t="spb"/>
    <k n="Housing units" t="spb"/>
    <k n="Country/region" t="spb"/>
    <k n="Building permits" t="spb"/>
    <k n="Capital/Major City" t="spb"/>
    <k n="Persons per household" t="spb"/>
    <k n="Median household income" t="spb"/>
  </s>
  <s>
    <k n="^Order" t="spba"/>
    <k n="TitleProperty" t="s"/>
    <k n="SubTitleProperty" t="s"/>
  </s>
  <s>
    <k n="ShowInCardView" t="b"/>
    <k n="ShowInDotNotation" t="b"/>
    <k n="ShowInAutoComplete" t="b"/>
  </s>
  <s>
    <k n="UniqueName" t="spb"/>
    <k n="VDPID/VSID" t="spb"/>
    <k n="LearnMoreOnLink" t="spb"/>
  </s>
  <s>
    <k n="Name" t="i"/>
    <k n="Image" t="i"/>
  </s>
  <s>
    <k n="link" t="s"/>
    <k n="logo" t="s"/>
    <k n="name" t="s"/>
  </s>
  <s>
    <k n="Area" t="s"/>
    <k n="Households" t="s"/>
    <k n="Population" t="s"/>
    <k n="Housing units" t="s"/>
    <k n="Building permits" t="s"/>
    <k n="Persons per household" t="s"/>
    <k n="Median household income" t="s"/>
  </s>
  <s>
    <k n="_Self" t="i"/>
  </s>
  <s>
    <k n="^Order" t="spba"/>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3">
    <x:dxf>
      <x:numFmt numFmtId="3" formatCode="#,##0"/>
    </x:dxf>
    <x:dxf>
      <x:numFmt numFmtId="0" formatCode="General"/>
    </x:dxf>
    <x:dxf>
      <x:numFmt numFmtId="2" formatCode="0.00"/>
    </x:dxf>
  </dxfs>
  <richProperties>
    <rPr n="IsTitleField" t="b"/>
    <rPr n="IsHeroField" t="b"/>
    <rPr n="NumberFormat" t="s"/>
  </richProperties>
  <richStyles>
    <rSty>
      <rpv i="0">1</rpv>
    </rSty>
    <rSty>
      <rpv i="1">1</rpv>
    </rSty>
    <rSty dxfid="0">
      <rpv i="2">#,##0</rpv>
    </rSty>
    <rSty dxfid="1">
      <rpv i="2">_-[$$-en-CA]* #,##0_-;-[$$-en-CA]* #,##0_-;_-[$$-en-CA]* "-"_-;_-@_-</rpv>
    </rSty>
    <rSty dxfid="2">
      <rpv i="2">0.00</rpv>
    </rSty>
  </richStyles>
</richStyleSheet>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1C9E6F2-8908-4C57-B7A9-956C7DC8F202}" name="customersbyregion" displayName="customersbyregion" ref="A1:E52" tableType="queryTable" totalsRowCount="1">
  <autoFilter ref="A1:E51" xr:uid="{74FB4F71-F17D-4D98-994C-0A608DA10032}"/>
  <tableColumns count="5">
    <tableColumn id="1" xr3:uid="{855251E1-1909-4035-B1C5-8BE0FD0109F4}" uniqueName="1" name="year" queryTableFieldId="1"/>
    <tableColumn id="2" xr3:uid="{25B4DD0D-1D8A-46B1-B273-93C12D868F8A}" uniqueName="2" name="state" queryTableFieldId="2" dataDxfId="2"/>
    <tableColumn id="5" xr3:uid="{4E4C7A9F-DCCF-4FE7-B50B-87C86BB1ED5C}" uniqueName="5" name="numCustomers" queryTableFieldId="5"/>
    <tableColumn id="4" xr3:uid="{02B82BA8-EB1E-4C7B-BCF9-5B34C72A449E}" uniqueName="4" name="revenue" queryTableFieldId="4" dataDxfId="1" totalsRowDxfId="0"/>
    <tableColumn id="6" xr3:uid="{ABE3A406-2AE6-409F-878A-3B8BB8825691}" uniqueName="6" name="Column1" queryTableFieldId="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7170D1E-3B11-4947-90A9-9E4227AF02AC}" name="Table25" displayName="Table25" ref="G1:J11" totalsRowShown="0">
  <autoFilter ref="G1:J11" xr:uid="{E731D2A1-E530-40FF-B509-D0BC11D7DD28}"/>
  <tableColumns count="4">
    <tableColumn id="1" xr3:uid="{CA94A89D-32EF-44C3-9E3B-5147A767ECDA}" name="year"/>
    <tableColumn id="2" xr3:uid="{21F07881-9953-4450-BC56-42EADAA1BD73}" name="state"/>
    <tableColumn id="3" xr3:uid="{416AF5BC-264F-49EA-B916-05315D42C1BA}" name="revenue" dataCellStyle="Currency"/>
    <tableColumn id="7" xr3:uid="{0A1D0106-A4CF-4F87-85D5-308005090634}" name="Number of Customers"/>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5D0BF-91B1-45DC-AE33-2B52EDCEBFA8}">
  <dimension ref="A1:P52"/>
  <sheetViews>
    <sheetView tabSelected="1" topLeftCell="F2" zoomScaleNormal="100" workbookViewId="0">
      <selection activeCell="J15" sqref="J15"/>
    </sheetView>
  </sheetViews>
  <sheetFormatPr defaultRowHeight="14.5" x14ac:dyDescent="0.35"/>
  <cols>
    <col min="1" max="1" width="7.26953125" customWidth="1"/>
    <col min="2" max="2" width="13.7265625" customWidth="1"/>
    <col min="3" max="3" width="17.36328125" customWidth="1"/>
    <col min="4" max="4" width="26.7265625" customWidth="1"/>
    <col min="5" max="5" width="16.90625" customWidth="1"/>
    <col min="7" max="7" width="20.08984375" bestFit="1" customWidth="1"/>
    <col min="8" max="8" width="15.26953125" bestFit="1" customWidth="1"/>
    <col min="9" max="9" width="20.08984375" bestFit="1" customWidth="1"/>
    <col min="10" max="10" width="20.453125" bestFit="1" customWidth="1"/>
    <col min="11" max="11" width="19.36328125" bestFit="1" customWidth="1"/>
    <col min="12" max="12" width="13.453125" bestFit="1" customWidth="1"/>
    <col min="13" max="13" width="29.81640625" bestFit="1" customWidth="1"/>
    <col min="14" max="14" width="11.81640625" bestFit="1" customWidth="1"/>
    <col min="15" max="15" width="17.26953125" bestFit="1" customWidth="1"/>
    <col min="16" max="16" width="10.7265625" bestFit="1" customWidth="1"/>
    <col min="17" max="17" width="11.7265625" bestFit="1" customWidth="1"/>
    <col min="18" max="18" width="23" bestFit="1" customWidth="1"/>
    <col min="19" max="19" width="11.81640625" bestFit="1" customWidth="1"/>
    <col min="20" max="20" width="17.26953125" bestFit="1" customWidth="1"/>
    <col min="21" max="21" width="10.7265625" bestFit="1" customWidth="1"/>
    <col min="22" max="29" width="29.81640625" bestFit="1" customWidth="1"/>
    <col min="30" max="30" width="15.6328125" bestFit="1" customWidth="1"/>
    <col min="31" max="31" width="25.1796875" bestFit="1" customWidth="1"/>
  </cols>
  <sheetData>
    <row r="1" spans="1:16" ht="14" x14ac:dyDescent="0.3">
      <c r="A1" t="s">
        <v>0</v>
      </c>
      <c r="B1" t="s">
        <v>1</v>
      </c>
      <c r="C1" t="s">
        <v>6</v>
      </c>
      <c r="D1" t="s">
        <v>2</v>
      </c>
      <c r="E1" t="s">
        <v>5</v>
      </c>
      <c r="G1" t="s">
        <v>0</v>
      </c>
      <c r="H1" t="s">
        <v>1</v>
      </c>
      <c r="I1" t="s">
        <v>2</v>
      </c>
      <c r="J1" t="s">
        <v>3</v>
      </c>
    </row>
    <row r="2" spans="1:16" ht="14" x14ac:dyDescent="0.3">
      <c r="A2">
        <v>2020</v>
      </c>
      <c r="B2" t="e" vm="1">
        <v>#VALUE!</v>
      </c>
      <c r="C2">
        <v>103</v>
      </c>
      <c r="D2" s="3">
        <v>107874.65</v>
      </c>
      <c r="G2">
        <v>2024</v>
      </c>
      <c r="H2" t="e" vm="1">
        <v>#VALUE!</v>
      </c>
      <c r="I2" s="1">
        <f xml:space="preserve"> _xlfn.FORECAST.LINEAR(2024,D2:D5,A2:A5)</f>
        <v>99776.85599999968</v>
      </c>
      <c r="J2" s="2">
        <f xml:space="preserve"> _xlfn.FORECAST.LINEAR(2024,C2:C5, A2:A5)</f>
        <v>86.199999999998909</v>
      </c>
    </row>
    <row r="3" spans="1:16" ht="14" x14ac:dyDescent="0.3">
      <c r="A3">
        <v>2021</v>
      </c>
      <c r="B3" t="e" vm="1">
        <v>#VALUE!</v>
      </c>
      <c r="C3">
        <v>126</v>
      </c>
      <c r="D3" s="3">
        <v>129388.94</v>
      </c>
      <c r="G3">
        <v>2024</v>
      </c>
      <c r="H3" t="e" vm="2">
        <v>#VALUE!</v>
      </c>
      <c r="I3" s="1">
        <f>_xlfn.FORECAST.LINEAR(2024, D7:D10,A7:A10)</f>
        <v>26384.725999999791</v>
      </c>
      <c r="J3" s="2">
        <f>_xlfn.FORECAST.LINEAR(2024,C7:C10, A7:A10)</f>
        <v>32.199999999999818</v>
      </c>
    </row>
    <row r="4" spans="1:16" ht="14" x14ac:dyDescent="0.3">
      <c r="A4">
        <v>2022</v>
      </c>
      <c r="B4" t="e" vm="1">
        <v>#VALUE!</v>
      </c>
      <c r="C4">
        <v>81</v>
      </c>
      <c r="D4" s="3">
        <v>84504.53</v>
      </c>
      <c r="G4">
        <v>2024</v>
      </c>
      <c r="H4" t="e" vm="3">
        <v>#VALUE!</v>
      </c>
      <c r="I4" s="1">
        <f>_xlfn.FORECAST.LINEAR(2024, D12:D15, A12:A15)</f>
        <v>109882.05600000173</v>
      </c>
      <c r="J4" s="2">
        <f>_xlfn.FORECAST.LINEAR(2024, C12:C15, A12:A15)</f>
        <v>99.700000000000728</v>
      </c>
    </row>
    <row r="5" spans="1:16" ht="14" x14ac:dyDescent="0.3">
      <c r="A5">
        <v>2023</v>
      </c>
      <c r="B5" t="e" vm="1">
        <v>#VALUE!</v>
      </c>
      <c r="C5" s="2">
        <f>1.2*81</f>
        <v>97.2</v>
      </c>
      <c r="D5" s="3">
        <f>1.2*92884.93</f>
        <v>111461.91599999998</v>
      </c>
      <c r="G5">
        <v>2024</v>
      </c>
      <c r="H5" t="e" vm="4">
        <v>#VALUE!</v>
      </c>
      <c r="I5" s="1">
        <f>_xlfn.FORECAST.LINEAR(2024, D17:D20, A17:A20)</f>
        <v>36002.888000000268</v>
      </c>
      <c r="J5" s="2">
        <f>_xlfn.FORECAST.LINEAR(2024, C17:C20, A17:A20)</f>
        <v>30.300000000000182</v>
      </c>
    </row>
    <row r="6" spans="1:16" ht="14" x14ac:dyDescent="0.3">
      <c r="A6">
        <v>2024</v>
      </c>
      <c r="B6" t="e" vm="1">
        <v>#VALUE!</v>
      </c>
      <c r="C6" s="2">
        <f xml:space="preserve"> _xlfn.FORECAST.LINEAR(2024,C2:C5, A2:A5)</f>
        <v>86.199999999998909</v>
      </c>
      <c r="D6" s="3">
        <f xml:space="preserve"> _xlfn.FORECAST.LINEAR(2024,D2:D5,A2:A5)</f>
        <v>99776.85599999968</v>
      </c>
      <c r="E6" t="s">
        <v>4</v>
      </c>
      <c r="G6">
        <v>2024</v>
      </c>
      <c r="H6" t="e" vm="5">
        <v>#VALUE!</v>
      </c>
      <c r="I6" s="1">
        <f>_xlfn.FORECAST.LINEAR(2024, D22:D25,A22:A25)</f>
        <v>76036.322999999858</v>
      </c>
      <c r="J6" s="2">
        <f>_xlfn.FORECAST.LINEAR(2024, C22:C25, A22:A25)</f>
        <v>81.600000000000364</v>
      </c>
    </row>
    <row r="7" spans="1:16" ht="14" x14ac:dyDescent="0.3">
      <c r="A7">
        <v>2020</v>
      </c>
      <c r="B7" t="e" vm="2">
        <v>#VALUE!</v>
      </c>
      <c r="C7">
        <v>31</v>
      </c>
      <c r="D7" s="3">
        <v>38275.86</v>
      </c>
      <c r="G7">
        <v>2024</v>
      </c>
      <c r="H7" t="e" vm="6">
        <v>#VALUE!</v>
      </c>
      <c r="I7" s="1">
        <f>_xlfn.FORECAST.LINEAR(2024, D27:D30, A27:A30)</f>
        <v>56115.355000000447</v>
      </c>
      <c r="J7" s="2">
        <f>_xlfn.FORECAST.LINEAR(2024, C27:C30, A27:A30)</f>
        <v>56.799999999999272</v>
      </c>
    </row>
    <row r="8" spans="1:16" ht="14" x14ac:dyDescent="0.3">
      <c r="A8">
        <v>2021</v>
      </c>
      <c r="B8" t="e" vm="2">
        <v>#VALUE!</v>
      </c>
      <c r="C8">
        <v>32</v>
      </c>
      <c r="D8" s="3">
        <v>33369.75</v>
      </c>
      <c r="G8">
        <v>2024</v>
      </c>
      <c r="H8" t="e" vm="7">
        <v>#VALUE!</v>
      </c>
      <c r="I8" s="1">
        <f>_xlfn.FORECAST.LINEAR(2024, D32:D35,A32:A35)</f>
        <v>31515.991999999969</v>
      </c>
      <c r="J8" s="2">
        <f>_xlfn.FORECAST.LINEAR(2024, C32:C35, A32:A35)</f>
        <v>28.399999999999864</v>
      </c>
    </row>
    <row r="9" spans="1:16" ht="14" x14ac:dyDescent="0.3">
      <c r="A9">
        <v>2022</v>
      </c>
      <c r="B9" t="e" vm="2">
        <v>#VALUE!</v>
      </c>
      <c r="C9">
        <v>21</v>
      </c>
      <c r="D9" s="3">
        <v>18597.88</v>
      </c>
      <c r="G9">
        <v>2024</v>
      </c>
      <c r="H9" t="e" vm="8">
        <v>#VALUE!</v>
      </c>
      <c r="I9" s="1">
        <f>_xlfn.FORECAST.LINEAR(2024,D37:D40,A37:A40)</f>
        <v>76883.530000001192</v>
      </c>
      <c r="J9" s="2">
        <f>_xlfn.FORECAST.LINEAR(2024,C37:C40,A37:A40)</f>
        <v>59.700000000000273</v>
      </c>
    </row>
    <row r="10" spans="1:16" ht="14" x14ac:dyDescent="0.3">
      <c r="A10">
        <v>2023</v>
      </c>
      <c r="B10" t="e" vm="2">
        <v>#VALUE!</v>
      </c>
      <c r="C10" s="2">
        <f>1.2*31</f>
        <v>37.199999999999996</v>
      </c>
      <c r="D10" s="3">
        <f>1.2*30186.43</f>
        <v>36223.716</v>
      </c>
      <c r="G10">
        <v>2024</v>
      </c>
      <c r="H10" t="e" vm="9">
        <v>#VALUE!</v>
      </c>
      <c r="I10" s="1">
        <f>_xlfn.FORECAST.LINEAR(2024,D42:D45,A42:A45)</f>
        <v>107007.93500000238</v>
      </c>
      <c r="J10" s="2">
        <f>_xlfn.FORECAST.LINEAR(2024, C42:C45,A42:A45)</f>
        <v>115.70000000000437</v>
      </c>
    </row>
    <row r="11" spans="1:16" ht="14" x14ac:dyDescent="0.3">
      <c r="A11">
        <v>2024</v>
      </c>
      <c r="B11" t="e" vm="2">
        <v>#VALUE!</v>
      </c>
      <c r="C11" s="2">
        <f>_xlfn.FORECAST.LINEAR(2024,C7:C10, A7:A10)</f>
        <v>32.199999999999818</v>
      </c>
      <c r="D11" s="3">
        <f>_xlfn.FORECAST.LINEAR(2024, D7:D10,A7:A10)</f>
        <v>26384.725999999791</v>
      </c>
      <c r="E11" t="s">
        <v>4</v>
      </c>
      <c r="G11">
        <v>2024</v>
      </c>
      <c r="H11" t="e" vm="10">
        <v>#VALUE!</v>
      </c>
      <c r="I11" s="1">
        <f>_xlfn.FORECAST.LINEAR(2024,D47:D50,A47:A50)</f>
        <v>97725.881000000052</v>
      </c>
      <c r="J11" s="2">
        <f>_xlfn.FORECAST.LINEAR(2024,C47:C50,A47:A50)</f>
        <v>86.700000000000045</v>
      </c>
    </row>
    <row r="12" spans="1:16" ht="14" x14ac:dyDescent="0.3">
      <c r="A12">
        <v>2020</v>
      </c>
      <c r="B12" t="e" vm="3">
        <v>#VALUE!</v>
      </c>
      <c r="C12">
        <v>39</v>
      </c>
      <c r="D12" s="3">
        <v>32430.38</v>
      </c>
    </row>
    <row r="13" spans="1:16" ht="14" x14ac:dyDescent="0.3">
      <c r="A13">
        <v>2021</v>
      </c>
      <c r="B13" t="e" vm="3">
        <v>#VALUE!</v>
      </c>
      <c r="C13">
        <v>70</v>
      </c>
      <c r="D13" s="3">
        <v>70422.490000000005</v>
      </c>
      <c r="G13" s="4" t="s">
        <v>7</v>
      </c>
      <c r="H13" s="4" t="s">
        <v>9</v>
      </c>
    </row>
    <row r="14" spans="1:16" ht="14" x14ac:dyDescent="0.3">
      <c r="A14">
        <v>2022</v>
      </c>
      <c r="B14" t="e" vm="3">
        <v>#VALUE!</v>
      </c>
      <c r="C14">
        <v>104</v>
      </c>
      <c r="D14" s="3">
        <v>122508.02</v>
      </c>
      <c r="G14" s="4" t="s">
        <v>8</v>
      </c>
      <c r="H14">
        <v>2022</v>
      </c>
    </row>
    <row r="15" spans="1:16" ht="14" x14ac:dyDescent="0.3">
      <c r="A15">
        <v>2023</v>
      </c>
      <c r="B15" t="e" vm="3">
        <v>#VALUE!</v>
      </c>
      <c r="C15" s="2">
        <f>1.2*56</f>
        <v>67.2</v>
      </c>
      <c r="D15" s="3">
        <f>1.2*54036.03</f>
        <v>64843.235999999997</v>
      </c>
      <c r="G15" s="5" t="e" vm="1">
        <v>#VALUE!</v>
      </c>
      <c r="H15">
        <v>81</v>
      </c>
      <c r="J15" s="4" t="s">
        <v>7</v>
      </c>
      <c r="K15" s="4" t="s">
        <v>9</v>
      </c>
    </row>
    <row r="16" spans="1:16" ht="14" x14ac:dyDescent="0.3">
      <c r="A16">
        <v>2024</v>
      </c>
      <c r="B16" t="e" vm="3">
        <v>#VALUE!</v>
      </c>
      <c r="C16" s="2">
        <f>_xlfn.FORECAST.LINEAR(2024, C12:C15, A12:A15)</f>
        <v>99.700000000000728</v>
      </c>
      <c r="D16" s="3">
        <f>_xlfn.FORECAST.LINEAR(2024, D12:D15, A12:A15)</f>
        <v>109882.05600000173</v>
      </c>
      <c r="E16" t="s">
        <v>4</v>
      </c>
      <c r="G16" s="5" t="e" vm="2">
        <v>#VALUE!</v>
      </c>
      <c r="H16">
        <v>21</v>
      </c>
      <c r="J16" s="4" t="s">
        <v>8</v>
      </c>
      <c r="K16" t="e" vm="2">
        <v>#VALUE!</v>
      </c>
      <c r="L16" t="e" vm="3">
        <v>#VALUE!</v>
      </c>
      <c r="M16" t="e" vm="5">
        <v>#VALUE!</v>
      </c>
      <c r="N16" t="e" vm="9">
        <v>#VALUE!</v>
      </c>
      <c r="O16" t="e" vm="10">
        <v>#VALUE!</v>
      </c>
      <c r="P16" t="s">
        <v>10</v>
      </c>
    </row>
    <row r="17" spans="1:16" ht="14" x14ac:dyDescent="0.3">
      <c r="A17">
        <v>2020</v>
      </c>
      <c r="B17" t="e" vm="4">
        <v>#VALUE!</v>
      </c>
      <c r="C17">
        <v>52</v>
      </c>
      <c r="D17" s="3">
        <v>54677.71</v>
      </c>
      <c r="G17" s="5" t="e" vm="3">
        <v>#VALUE!</v>
      </c>
      <c r="H17">
        <v>104</v>
      </c>
      <c r="J17" s="5">
        <v>2020</v>
      </c>
      <c r="K17" s="6">
        <v>31</v>
      </c>
      <c r="L17" s="6">
        <v>39</v>
      </c>
      <c r="M17" s="6">
        <v>56</v>
      </c>
      <c r="N17" s="6">
        <v>44</v>
      </c>
      <c r="O17" s="6">
        <v>92</v>
      </c>
      <c r="P17" s="6">
        <v>262</v>
      </c>
    </row>
    <row r="18" spans="1:16" ht="14" x14ac:dyDescent="0.3">
      <c r="A18">
        <v>2021</v>
      </c>
      <c r="B18" t="e" vm="4">
        <v>#VALUE!</v>
      </c>
      <c r="C18">
        <v>24</v>
      </c>
      <c r="D18" s="3">
        <v>25795.73</v>
      </c>
      <c r="G18" s="5" t="e" vm="4">
        <v>#VALUE!</v>
      </c>
      <c r="H18">
        <v>31</v>
      </c>
      <c r="J18" s="5">
        <v>2021</v>
      </c>
      <c r="K18" s="6">
        <v>32</v>
      </c>
      <c r="L18" s="6">
        <v>70</v>
      </c>
      <c r="M18" s="6">
        <v>60</v>
      </c>
      <c r="N18" s="6">
        <v>55</v>
      </c>
      <c r="O18" s="6">
        <v>73</v>
      </c>
      <c r="P18" s="6">
        <v>290</v>
      </c>
    </row>
    <row r="19" spans="1:16" ht="14" x14ac:dyDescent="0.3">
      <c r="A19">
        <v>2022</v>
      </c>
      <c r="B19" t="e" vm="4">
        <v>#VALUE!</v>
      </c>
      <c r="C19">
        <v>31</v>
      </c>
      <c r="D19" s="3">
        <v>42169.79</v>
      </c>
      <c r="G19" s="5" t="e" vm="5">
        <v>#VALUE!</v>
      </c>
      <c r="H19">
        <v>68</v>
      </c>
      <c r="J19" s="5">
        <v>2022</v>
      </c>
      <c r="K19" s="6">
        <v>21</v>
      </c>
      <c r="L19" s="6">
        <v>104</v>
      </c>
      <c r="M19" s="6">
        <v>68</v>
      </c>
      <c r="N19" s="6">
        <v>69</v>
      </c>
      <c r="O19" s="6">
        <v>83</v>
      </c>
      <c r="P19" s="6">
        <v>345</v>
      </c>
    </row>
    <row r="20" spans="1:16" ht="14" x14ac:dyDescent="0.3">
      <c r="A20">
        <v>2023</v>
      </c>
      <c r="B20" t="e" vm="4">
        <v>#VALUE!</v>
      </c>
      <c r="C20" s="2">
        <f>1.2*34</f>
        <v>40.799999999999997</v>
      </c>
      <c r="D20" s="3">
        <f>1.2*35214.04</f>
        <v>42256.847999999998</v>
      </c>
      <c r="G20" s="5" t="e" vm="6">
        <v>#VALUE!</v>
      </c>
      <c r="H20">
        <v>90</v>
      </c>
      <c r="J20" s="5">
        <v>2023</v>
      </c>
      <c r="K20" s="6">
        <v>37.199999999999996</v>
      </c>
      <c r="L20" s="6">
        <v>67.2</v>
      </c>
      <c r="M20" s="6">
        <v>75.599999999999994</v>
      </c>
      <c r="N20" s="6">
        <v>103.2</v>
      </c>
      <c r="O20" s="6">
        <v>91.2</v>
      </c>
      <c r="P20" s="6">
        <v>374.4</v>
      </c>
    </row>
    <row r="21" spans="1:16" ht="14" x14ac:dyDescent="0.3">
      <c r="A21">
        <v>2024</v>
      </c>
      <c r="B21" t="e" vm="4">
        <v>#VALUE!</v>
      </c>
      <c r="C21" s="2">
        <f>_xlfn.FORECAST.LINEAR(2024, C17:C20, A17:A20)</f>
        <v>30.300000000000182</v>
      </c>
      <c r="D21" s="3">
        <f>_xlfn.FORECAST.LINEAR(2024, D17:D20, A17:A20)</f>
        <v>36002.888000000268</v>
      </c>
      <c r="E21" t="s">
        <v>4</v>
      </c>
      <c r="G21" s="5" t="e" vm="7">
        <v>#VALUE!</v>
      </c>
      <c r="H21">
        <v>24</v>
      </c>
      <c r="J21" s="5" t="s">
        <v>10</v>
      </c>
      <c r="K21" s="6">
        <v>121.19999999999999</v>
      </c>
      <c r="L21" s="6">
        <v>280.2</v>
      </c>
      <c r="M21" s="6">
        <v>259.60000000000002</v>
      </c>
      <c r="N21" s="6">
        <v>271.2</v>
      </c>
      <c r="O21" s="6">
        <v>339.2</v>
      </c>
      <c r="P21" s="6">
        <v>1271.4000000000001</v>
      </c>
    </row>
    <row r="22" spans="1:16" ht="14" x14ac:dyDescent="0.3">
      <c r="A22">
        <v>2020</v>
      </c>
      <c r="B22" t="e" vm="5">
        <v>#VALUE!</v>
      </c>
      <c r="C22">
        <v>56</v>
      </c>
      <c r="D22" s="3">
        <v>65332.5</v>
      </c>
      <c r="G22" s="5" t="e" vm="8">
        <v>#VALUE!</v>
      </c>
      <c r="H22">
        <v>42</v>
      </c>
    </row>
    <row r="23" spans="1:16" ht="14" x14ac:dyDescent="0.3">
      <c r="A23">
        <v>2021</v>
      </c>
      <c r="B23" t="e" vm="5">
        <v>#VALUE!</v>
      </c>
      <c r="C23">
        <v>60</v>
      </c>
      <c r="D23" s="3">
        <v>71624.36</v>
      </c>
      <c r="G23" s="5" t="e" vm="9">
        <v>#VALUE!</v>
      </c>
      <c r="H23">
        <v>69</v>
      </c>
    </row>
    <row r="24" spans="1:16" ht="14" x14ac:dyDescent="0.3">
      <c r="A24">
        <v>2022</v>
      </c>
      <c r="B24" t="e" vm="5">
        <v>#VALUE!</v>
      </c>
      <c r="C24">
        <v>68</v>
      </c>
      <c r="D24" s="3">
        <v>70661.37</v>
      </c>
      <c r="G24" s="5" t="e" vm="10">
        <v>#VALUE!</v>
      </c>
      <c r="H24">
        <v>83</v>
      </c>
    </row>
    <row r="25" spans="1:16" ht="14" x14ac:dyDescent="0.3">
      <c r="A25">
        <v>2023</v>
      </c>
      <c r="B25" t="e" vm="5">
        <v>#VALUE!</v>
      </c>
      <c r="C25" s="2">
        <f>1.2*63</f>
        <v>75.599999999999994</v>
      </c>
      <c r="D25" s="3">
        <f>1.2*61143.24</f>
        <v>73371.887999999992</v>
      </c>
    </row>
    <row r="26" spans="1:16" ht="14" x14ac:dyDescent="0.3">
      <c r="A26">
        <v>2024</v>
      </c>
      <c r="B26" t="e" vm="5">
        <v>#VALUE!</v>
      </c>
      <c r="C26" s="2">
        <f>_xlfn.FORECAST.LINEAR(2024, C22:C25, A22:A25)</f>
        <v>81.600000000000364</v>
      </c>
      <c r="D26" s="3">
        <f>_xlfn.FORECAST.LINEAR(2024, D22:D25,A22:A25)</f>
        <v>76036.322999999858</v>
      </c>
      <c r="E26" t="s">
        <v>4</v>
      </c>
    </row>
    <row r="27" spans="1:16" ht="14" x14ac:dyDescent="0.3">
      <c r="A27">
        <v>2020</v>
      </c>
      <c r="B27" t="e" vm="6">
        <v>#VALUE!</v>
      </c>
      <c r="C27">
        <v>82</v>
      </c>
      <c r="D27" s="3">
        <v>87858.38</v>
      </c>
    </row>
    <row r="28" spans="1:16" ht="14" x14ac:dyDescent="0.3">
      <c r="A28">
        <v>2021</v>
      </c>
      <c r="B28" t="e" vm="6">
        <v>#VALUE!</v>
      </c>
      <c r="C28">
        <v>104</v>
      </c>
      <c r="D28" s="3">
        <v>121721.89</v>
      </c>
    </row>
    <row r="29" spans="1:16" ht="14" x14ac:dyDescent="0.3">
      <c r="A29">
        <v>2022</v>
      </c>
      <c r="B29" t="e" vm="6">
        <v>#VALUE!</v>
      </c>
      <c r="C29">
        <v>90</v>
      </c>
      <c r="D29" s="3">
        <v>104665.09</v>
      </c>
    </row>
    <row r="30" spans="1:16" ht="14" x14ac:dyDescent="0.3">
      <c r="A30">
        <v>2023</v>
      </c>
      <c r="B30" t="e" vm="6">
        <v>#VALUE!</v>
      </c>
      <c r="C30" s="2">
        <f>1.2*44</f>
        <v>52.8</v>
      </c>
      <c r="D30" s="3">
        <f>1.2*39760</f>
        <v>47712</v>
      </c>
    </row>
    <row r="31" spans="1:16" ht="14" x14ac:dyDescent="0.3">
      <c r="A31">
        <v>2024</v>
      </c>
      <c r="B31" t="e" vm="6">
        <v>#VALUE!</v>
      </c>
      <c r="C31" s="2">
        <f>_xlfn.FORECAST.LINEAR(2024, C27:C30, A27:A30)</f>
        <v>56.799999999999272</v>
      </c>
      <c r="D31" s="3">
        <f>_xlfn.FORECAST.LINEAR(2024, D27:D30, A27:A30)</f>
        <v>56115.355000000447</v>
      </c>
      <c r="E31" t="s">
        <v>4</v>
      </c>
    </row>
    <row r="32" spans="1:16" ht="14" x14ac:dyDescent="0.3">
      <c r="A32">
        <v>2020</v>
      </c>
      <c r="B32" t="e" vm="7">
        <v>#VALUE!</v>
      </c>
      <c r="C32">
        <v>32</v>
      </c>
      <c r="D32" s="3">
        <v>29598.82</v>
      </c>
    </row>
    <row r="33" spans="1:5" x14ac:dyDescent="0.35">
      <c r="A33">
        <v>2021</v>
      </c>
      <c r="B33" t="e" vm="7">
        <v>#VALUE!</v>
      </c>
      <c r="C33">
        <v>31</v>
      </c>
      <c r="D33" s="3">
        <v>39533.94</v>
      </c>
    </row>
    <row r="34" spans="1:5" x14ac:dyDescent="0.35">
      <c r="A34">
        <v>2022</v>
      </c>
      <c r="B34" t="e" vm="7">
        <v>#VALUE!</v>
      </c>
      <c r="C34">
        <v>24</v>
      </c>
      <c r="D34" s="3">
        <v>25873.94</v>
      </c>
    </row>
    <row r="35" spans="1:5" x14ac:dyDescent="0.35">
      <c r="A35">
        <v>2023</v>
      </c>
      <c r="B35" t="e" vm="7">
        <v>#VALUE!</v>
      </c>
      <c r="C35" s="2">
        <f>1.2*27</f>
        <v>32.4</v>
      </c>
      <c r="D35" s="3">
        <f>1.2*27815.36</f>
        <v>33378.432000000001</v>
      </c>
    </row>
    <row r="36" spans="1:5" x14ac:dyDescent="0.35">
      <c r="A36">
        <v>2024</v>
      </c>
      <c r="B36" t="e" vm="7">
        <v>#VALUE!</v>
      </c>
      <c r="C36" s="2">
        <f>_xlfn.FORECAST.LINEAR(2024, C32:C35, A32:A35)</f>
        <v>28.399999999999864</v>
      </c>
      <c r="D36" s="3">
        <f>_xlfn.FORECAST.LINEAR(2024, D32:D35,A32:A35)</f>
        <v>31515.991999999969</v>
      </c>
      <c r="E36" t="s">
        <v>4</v>
      </c>
    </row>
    <row r="37" spans="1:5" x14ac:dyDescent="0.35">
      <c r="A37">
        <v>2020</v>
      </c>
      <c r="B37" t="e" vm="8">
        <v>#VALUE!</v>
      </c>
      <c r="C37">
        <v>57</v>
      </c>
      <c r="D37" s="3">
        <v>50369.32</v>
      </c>
    </row>
    <row r="38" spans="1:5" x14ac:dyDescent="0.35">
      <c r="A38">
        <v>2021</v>
      </c>
      <c r="B38" t="e" vm="8">
        <v>#VALUE!</v>
      </c>
      <c r="C38">
        <v>87</v>
      </c>
      <c r="D38" s="3">
        <v>90113.32</v>
      </c>
    </row>
    <row r="39" spans="1:5" x14ac:dyDescent="0.35">
      <c r="A39">
        <v>2022</v>
      </c>
      <c r="B39" t="e" vm="8">
        <v>#VALUE!</v>
      </c>
      <c r="C39">
        <v>42</v>
      </c>
      <c r="D39" s="3">
        <v>44909.82</v>
      </c>
    </row>
    <row r="40" spans="1:5" x14ac:dyDescent="0.35">
      <c r="A40">
        <v>2023</v>
      </c>
      <c r="B40" t="e" vm="8">
        <v>#VALUE!</v>
      </c>
      <c r="C40" s="2">
        <f>1.2*56</f>
        <v>67.2</v>
      </c>
      <c r="D40" s="3">
        <f>1.2*66344.4</f>
        <v>79613.279999999984</v>
      </c>
    </row>
    <row r="41" spans="1:5" x14ac:dyDescent="0.35">
      <c r="A41">
        <v>2024</v>
      </c>
      <c r="B41" t="e" vm="8">
        <v>#VALUE!</v>
      </c>
      <c r="C41" s="2">
        <f>_xlfn.FORECAST.LINEAR(2024,C37:C40,A37:A40)</f>
        <v>59.700000000000273</v>
      </c>
      <c r="D41" s="3">
        <f>_xlfn.FORECAST.LINEAR(2024,D37:D40,A37:A40)</f>
        <v>76883.530000001192</v>
      </c>
      <c r="E41" t="s">
        <v>4</v>
      </c>
    </row>
    <row r="42" spans="1:5" x14ac:dyDescent="0.35">
      <c r="A42">
        <v>2020</v>
      </c>
      <c r="B42" t="e" vm="9">
        <v>#VALUE!</v>
      </c>
      <c r="C42">
        <v>44</v>
      </c>
      <c r="D42" s="3">
        <v>53720.9</v>
      </c>
    </row>
    <row r="43" spans="1:5" x14ac:dyDescent="0.35">
      <c r="A43">
        <v>2021</v>
      </c>
      <c r="B43" t="e" vm="9">
        <v>#VALUE!</v>
      </c>
      <c r="C43">
        <v>55</v>
      </c>
      <c r="D43" s="3">
        <v>46438.46</v>
      </c>
    </row>
    <row r="44" spans="1:5" x14ac:dyDescent="0.35">
      <c r="A44">
        <v>2022</v>
      </c>
      <c r="B44" t="e" vm="9">
        <v>#VALUE!</v>
      </c>
      <c r="C44">
        <v>69</v>
      </c>
      <c r="D44" s="3">
        <v>76367.009999999995</v>
      </c>
    </row>
    <row r="45" spans="1:5" x14ac:dyDescent="0.35">
      <c r="A45">
        <v>2023</v>
      </c>
      <c r="B45" t="e" vm="9">
        <v>#VALUE!</v>
      </c>
      <c r="C45" s="2">
        <f>1.2*86</f>
        <v>103.2</v>
      </c>
      <c r="D45" s="3">
        <f>1.2*79737.4</f>
        <v>95684.87999999999</v>
      </c>
    </row>
    <row r="46" spans="1:5" x14ac:dyDescent="0.35">
      <c r="A46">
        <v>2024</v>
      </c>
      <c r="B46" t="e" vm="9">
        <v>#VALUE!</v>
      </c>
      <c r="C46" s="2">
        <f>_xlfn.FORECAST.LINEAR(2024, C42:C45,A42:A45)</f>
        <v>115.70000000000437</v>
      </c>
      <c r="D46" s="3">
        <f>_xlfn.FORECAST.LINEAR(2024,D42:D45,A42:A45)</f>
        <v>107007.93500000238</v>
      </c>
      <c r="E46" t="s">
        <v>4</v>
      </c>
    </row>
    <row r="47" spans="1:5" x14ac:dyDescent="0.35">
      <c r="A47">
        <v>2020</v>
      </c>
      <c r="B47" t="e" vm="10">
        <v>#VALUE!</v>
      </c>
      <c r="C47">
        <v>92</v>
      </c>
      <c r="D47" s="3">
        <v>97501.09</v>
      </c>
    </row>
    <row r="48" spans="1:5" x14ac:dyDescent="0.35">
      <c r="A48">
        <v>2021</v>
      </c>
      <c r="B48" t="e" vm="10">
        <v>#VALUE!</v>
      </c>
      <c r="C48">
        <v>73</v>
      </c>
      <c r="D48" s="3">
        <v>77365.62</v>
      </c>
    </row>
    <row r="49" spans="1:5" x14ac:dyDescent="0.35">
      <c r="A49">
        <v>2022</v>
      </c>
      <c r="B49" t="e" vm="10">
        <v>#VALUE!</v>
      </c>
      <c r="C49">
        <v>83</v>
      </c>
      <c r="D49" s="3">
        <v>86051.54</v>
      </c>
    </row>
    <row r="50" spans="1:5" x14ac:dyDescent="0.35">
      <c r="A50">
        <v>2023</v>
      </c>
      <c r="B50" t="e" vm="10">
        <v>#VALUE!</v>
      </c>
      <c r="C50" s="2">
        <f>1.2*76</f>
        <v>91.2</v>
      </c>
      <c r="D50" s="3">
        <f>1.2*86208.88</f>
        <v>103450.656</v>
      </c>
    </row>
    <row r="51" spans="1:5" x14ac:dyDescent="0.35">
      <c r="A51">
        <v>2024</v>
      </c>
      <c r="B51" t="e" vm="10">
        <v>#VALUE!</v>
      </c>
      <c r="C51" s="2">
        <f>_xlfn.FORECAST.LINEAR(2024,C47:C50,A47:A50)</f>
        <v>86.700000000000045</v>
      </c>
      <c r="D51" s="3">
        <f>_xlfn.FORECAST.LINEAR(2024,D47:D50,A47:A50)</f>
        <v>97725.881000000052</v>
      </c>
      <c r="E51" t="s">
        <v>4</v>
      </c>
    </row>
    <row r="52" spans="1:5" x14ac:dyDescent="0.35">
      <c r="D52" s="3"/>
    </row>
  </sheetData>
  <pageMargins left="0.7" right="0.7" top="0.75" bottom="0.75" header="0.3" footer="0.3"/>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4A7D9E3-4E0B-430D-A439-E8932417F06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customersbyregion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Rianna Sundlie</dc:creator>
  <cp:lastModifiedBy>Rianna Sundlie</cp:lastModifiedBy>
  <dcterms:created xsi:type="dcterms:W3CDTF">2015-06-05T18:17:20Z</dcterms:created>
  <dcterms:modified xsi:type="dcterms:W3CDTF">2026-06-22T14:27:45Z</dcterms:modified>
</cp:coreProperties>
</file>